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User\Desktop\Studia\IV semestr\Wprowadzenie do eksploracji danych\"/>
    </mc:Choice>
  </mc:AlternateContent>
  <xr:revisionPtr revIDLastSave="0" documentId="13_ncr:1_{2C6C61CC-BC85-4692-887A-7002F02DC38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rkusz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" i="1" l="1"/>
  <c r="K4" i="1"/>
  <c r="X103" i="1"/>
  <c r="X102" i="1"/>
  <c r="X101" i="1"/>
  <c r="X100" i="1"/>
  <c r="X99" i="1"/>
  <c r="X98" i="1"/>
  <c r="X97" i="1"/>
  <c r="X96" i="1"/>
  <c r="X95" i="1"/>
  <c r="X94" i="1"/>
  <c r="X93" i="1"/>
  <c r="X92" i="1"/>
  <c r="X91" i="1"/>
  <c r="X90" i="1"/>
  <c r="X89" i="1"/>
  <c r="X88" i="1"/>
  <c r="X87" i="1"/>
  <c r="X86" i="1"/>
  <c r="X85" i="1"/>
  <c r="X84" i="1"/>
  <c r="X83" i="1"/>
  <c r="X82" i="1"/>
  <c r="X81" i="1"/>
  <c r="X80" i="1"/>
  <c r="X7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L81" i="1"/>
  <c r="L80" i="1"/>
  <c r="L79" i="1"/>
  <c r="L114" i="1"/>
  <c r="L115" i="1"/>
  <c r="L116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AO36" i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Z12" i="1"/>
  <c r="AA12" i="1" s="1"/>
  <c r="AD12" i="1"/>
  <c r="AE12" i="1" s="1"/>
  <c r="AH12" i="1"/>
  <c r="AH13" i="1" s="1"/>
  <c r="AI12" i="1"/>
  <c r="AJ12" i="1" s="1"/>
  <c r="AL12" i="1"/>
  <c r="AM12" i="1" s="1"/>
  <c r="Z13" i="1"/>
  <c r="AA13" i="1" s="1"/>
  <c r="AD13" i="1"/>
  <c r="AE13" i="1" s="1"/>
  <c r="AL13" i="1"/>
  <c r="AM13" i="1" s="1"/>
  <c r="AN13" i="1" s="1"/>
  <c r="Z14" i="1"/>
  <c r="AA14" i="1" s="1"/>
  <c r="Z18" i="1"/>
  <c r="AA18" i="1" s="1"/>
  <c r="Z19" i="1"/>
  <c r="AA19" i="1"/>
  <c r="Z20" i="1"/>
  <c r="AA20" i="1" s="1"/>
  <c r="Z21" i="1"/>
  <c r="AA21" i="1"/>
  <c r="Z22" i="1"/>
  <c r="AA22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Z31" i="1"/>
  <c r="AA31" i="1"/>
  <c r="Z32" i="1"/>
  <c r="AA32" i="1"/>
  <c r="Z33" i="1"/>
  <c r="AA33" i="1"/>
  <c r="Z34" i="1"/>
  <c r="AA34" i="1"/>
  <c r="Z35" i="1"/>
  <c r="AA35" i="1"/>
  <c r="Z36" i="1"/>
  <c r="AA36" i="1"/>
  <c r="Z37" i="1"/>
  <c r="AA37" i="1"/>
  <c r="Z38" i="1"/>
  <c r="Z39" i="1" s="1"/>
  <c r="I17" i="1"/>
  <c r="J4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T70" i="1"/>
  <c r="T71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P35" i="1"/>
  <c r="P36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14" i="1"/>
  <c r="P13" i="1"/>
  <c r="P12" i="1"/>
  <c r="L12" i="1"/>
  <c r="L13" i="1"/>
  <c r="L48" i="1"/>
  <c r="AL14" i="1" l="1"/>
  <c r="Z40" i="1"/>
  <c r="AA39" i="1"/>
  <c r="AN12" i="1"/>
  <c r="AI13" i="1"/>
  <c r="AH14" i="1"/>
  <c r="AA38" i="1"/>
  <c r="Z15" i="1"/>
  <c r="AD14" i="1"/>
  <c r="Q130" i="1"/>
  <c r="AM14" i="1" l="1"/>
  <c r="AN14" i="1" s="1"/>
  <c r="AL15" i="1"/>
  <c r="AJ13" i="1"/>
  <c r="Z41" i="1"/>
  <c r="AA40" i="1"/>
  <c r="AE14" i="1"/>
  <c r="AD15" i="1"/>
  <c r="Z16" i="1"/>
  <c r="AA15" i="1"/>
  <c r="AH15" i="1"/>
  <c r="AI14" i="1"/>
  <c r="AJ14" i="1" s="1"/>
  <c r="D8" i="1"/>
  <c r="AM15" i="1" l="1"/>
  <c r="AN15" i="1" s="1"/>
  <c r="AL16" i="1"/>
  <c r="Z42" i="1"/>
  <c r="AA41" i="1"/>
  <c r="AI15" i="1"/>
  <c r="AJ15" i="1" s="1"/>
  <c r="AH16" i="1"/>
  <c r="AA16" i="1"/>
  <c r="Z17" i="1"/>
  <c r="AA17" i="1" s="1"/>
  <c r="AE15" i="1"/>
  <c r="AD16" i="1"/>
  <c r="AE8" i="1"/>
  <c r="N75" i="1"/>
  <c r="N8" i="1"/>
  <c r="I108" i="1"/>
  <c r="I91" i="1"/>
  <c r="J91" i="1" s="1"/>
  <c r="I90" i="1"/>
  <c r="J90" i="1" s="1"/>
  <c r="I89" i="1"/>
  <c r="J89" i="1" s="1"/>
  <c r="I88" i="1"/>
  <c r="J88" i="1" s="1"/>
  <c r="I87" i="1"/>
  <c r="J87" i="1" s="1"/>
  <c r="I86" i="1"/>
  <c r="J86" i="1" s="1"/>
  <c r="AL17" i="1" l="1"/>
  <c r="AM16" i="1"/>
  <c r="AN16" i="1" s="1"/>
  <c r="AH17" i="1"/>
  <c r="AI16" i="1"/>
  <c r="AJ16" i="1" s="1"/>
  <c r="AE16" i="1"/>
  <c r="AD17" i="1"/>
  <c r="Z43" i="1"/>
  <c r="AA42" i="1"/>
  <c r="J8" i="1"/>
  <c r="AL18" i="1" l="1"/>
  <c r="AM17" i="1"/>
  <c r="AN17" i="1" s="1"/>
  <c r="AI17" i="1"/>
  <c r="AJ17" i="1" s="1"/>
  <c r="AH18" i="1"/>
  <c r="Z44" i="1"/>
  <c r="AA43" i="1"/>
  <c r="AE17" i="1"/>
  <c r="AD18" i="1"/>
  <c r="I12" i="1"/>
  <c r="I79" i="1"/>
  <c r="K76" i="1"/>
  <c r="L76" i="1"/>
  <c r="M76" i="1"/>
  <c r="J76" i="1"/>
  <c r="K75" i="1"/>
  <c r="M81" i="1" s="1"/>
  <c r="L75" i="1"/>
  <c r="M75" i="1"/>
  <c r="J75" i="1"/>
  <c r="I85" i="1" s="1"/>
  <c r="J85" i="1" s="1"/>
  <c r="AB9" i="1"/>
  <c r="AC9" i="1"/>
  <c r="AD9" i="1"/>
  <c r="AA9" i="1"/>
  <c r="AB8" i="1"/>
  <c r="AC8" i="1"/>
  <c r="AD8" i="1"/>
  <c r="AA8" i="1"/>
  <c r="AM18" i="1" l="1"/>
  <c r="AN18" i="1" s="1"/>
  <c r="AL19" i="1"/>
  <c r="Z45" i="1"/>
  <c r="AA44" i="1"/>
  <c r="AH19" i="1"/>
  <c r="AI18" i="1"/>
  <c r="AJ18" i="1" s="1"/>
  <c r="AE18" i="1"/>
  <c r="AD19" i="1"/>
  <c r="M79" i="1"/>
  <c r="M12" i="1"/>
  <c r="I80" i="1"/>
  <c r="J79" i="1"/>
  <c r="M82" i="1"/>
  <c r="N81" i="1"/>
  <c r="I25" i="1"/>
  <c r="J25" i="1" s="1"/>
  <c r="J12" i="1"/>
  <c r="K9" i="1"/>
  <c r="L9" i="1"/>
  <c r="M9" i="1"/>
  <c r="K8" i="1"/>
  <c r="M15" i="1" s="1"/>
  <c r="M16" i="1" s="1"/>
  <c r="M17" i="1" s="1"/>
  <c r="L8" i="1"/>
  <c r="M8" i="1"/>
  <c r="J9" i="1"/>
  <c r="AL20" i="1" l="1"/>
  <c r="AM19" i="1"/>
  <c r="AN19" i="1" s="1"/>
  <c r="AI19" i="1"/>
  <c r="AJ19" i="1" s="1"/>
  <c r="AH20" i="1"/>
  <c r="Z46" i="1"/>
  <c r="AA45" i="1"/>
  <c r="AE19" i="1"/>
  <c r="AD20" i="1"/>
  <c r="U12" i="1"/>
  <c r="U13" i="1" s="1"/>
  <c r="V13" i="1" s="1"/>
  <c r="U79" i="1"/>
  <c r="Q79" i="1"/>
  <c r="Q12" i="1"/>
  <c r="R12" i="1" s="1"/>
  <c r="N79" i="1"/>
  <c r="M80" i="1"/>
  <c r="N80" i="1" s="1"/>
  <c r="M13" i="1"/>
  <c r="N12" i="1"/>
  <c r="I81" i="1"/>
  <c r="J80" i="1"/>
  <c r="N82" i="1"/>
  <c r="M83" i="1"/>
  <c r="Q13" i="1"/>
  <c r="R13" i="1" s="1"/>
  <c r="V12" i="1"/>
  <c r="I13" i="1"/>
  <c r="J13" i="1" s="1"/>
  <c r="N15" i="1"/>
  <c r="M18" i="1"/>
  <c r="N17" i="1"/>
  <c r="N16" i="1"/>
  <c r="U14" i="1"/>
  <c r="AM20" i="1" l="1"/>
  <c r="AN20" i="1" s="1"/>
  <c r="AL21" i="1"/>
  <c r="Z47" i="1"/>
  <c r="AA46" i="1"/>
  <c r="AE20" i="1"/>
  <c r="AD21" i="1"/>
  <c r="AH21" i="1"/>
  <c r="AI20" i="1"/>
  <c r="AJ20" i="1" s="1"/>
  <c r="Q80" i="1"/>
  <c r="R79" i="1"/>
  <c r="U80" i="1"/>
  <c r="V79" i="1"/>
  <c r="N13" i="1"/>
  <c r="M14" i="1"/>
  <c r="N14" i="1" s="1"/>
  <c r="I82" i="1"/>
  <c r="J81" i="1"/>
  <c r="N83" i="1"/>
  <c r="M84" i="1"/>
  <c r="I92" i="1"/>
  <c r="J92" i="1" s="1"/>
  <c r="Q14" i="1"/>
  <c r="Q15" i="1" s="1"/>
  <c r="I14" i="1"/>
  <c r="I15" i="1" s="1"/>
  <c r="U15" i="1"/>
  <c r="V14" i="1"/>
  <c r="M19" i="1"/>
  <c r="N18" i="1"/>
  <c r="AL22" i="1" l="1"/>
  <c r="AM21" i="1"/>
  <c r="AN21" i="1" s="1"/>
  <c r="AE21" i="1"/>
  <c r="AD22" i="1"/>
  <c r="Z48" i="1"/>
  <c r="AA48" i="1" s="1"/>
  <c r="AA47" i="1"/>
  <c r="AI21" i="1"/>
  <c r="AJ21" i="1" s="1"/>
  <c r="AH22" i="1"/>
  <c r="R80" i="1"/>
  <c r="Q81" i="1"/>
  <c r="V80" i="1"/>
  <c r="U81" i="1"/>
  <c r="I83" i="1"/>
  <c r="J82" i="1"/>
  <c r="N84" i="1"/>
  <c r="M85" i="1"/>
  <c r="I93" i="1"/>
  <c r="J93" i="1" s="1"/>
  <c r="R14" i="1"/>
  <c r="J14" i="1"/>
  <c r="Q16" i="1"/>
  <c r="R15" i="1"/>
  <c r="M20" i="1"/>
  <c r="N19" i="1"/>
  <c r="I16" i="1"/>
  <c r="J15" i="1"/>
  <c r="U16" i="1"/>
  <c r="V15" i="1"/>
  <c r="AL23" i="1" l="1"/>
  <c r="AM22" i="1"/>
  <c r="AN22" i="1" s="1"/>
  <c r="AA49" i="1"/>
  <c r="AH23" i="1"/>
  <c r="AI22" i="1"/>
  <c r="AJ22" i="1" s="1"/>
  <c r="AE22" i="1"/>
  <c r="AF22" i="1" s="1"/>
  <c r="AD23" i="1"/>
  <c r="V81" i="1"/>
  <c r="U82" i="1"/>
  <c r="R81" i="1"/>
  <c r="Q82" i="1"/>
  <c r="J83" i="1"/>
  <c r="I84" i="1"/>
  <c r="J84" i="1" s="1"/>
  <c r="N85" i="1"/>
  <c r="M86" i="1"/>
  <c r="I109" i="1"/>
  <c r="J108" i="1"/>
  <c r="I94" i="1"/>
  <c r="J94" i="1" s="1"/>
  <c r="M21" i="1"/>
  <c r="N20" i="1"/>
  <c r="U17" i="1"/>
  <c r="V16" i="1"/>
  <c r="J16" i="1"/>
  <c r="Q17" i="1"/>
  <c r="R16" i="1"/>
  <c r="AL24" i="1" l="1"/>
  <c r="AM23" i="1"/>
  <c r="AN23" i="1" s="1"/>
  <c r="AI23" i="1"/>
  <c r="AJ23" i="1" s="1"/>
  <c r="AH24" i="1"/>
  <c r="AB22" i="1"/>
  <c r="AB24" i="1"/>
  <c r="AB19" i="1"/>
  <c r="AB21" i="1"/>
  <c r="AB23" i="1"/>
  <c r="AB18" i="1"/>
  <c r="AF13" i="1"/>
  <c r="AB30" i="1"/>
  <c r="AB36" i="1"/>
  <c r="AB13" i="1"/>
  <c r="AB37" i="1"/>
  <c r="AB20" i="1"/>
  <c r="AB26" i="1"/>
  <c r="AB14" i="1"/>
  <c r="AB34" i="1"/>
  <c r="AB32" i="1"/>
  <c r="AB33" i="1"/>
  <c r="AF12" i="1"/>
  <c r="AB25" i="1"/>
  <c r="AB35" i="1"/>
  <c r="AB29" i="1"/>
  <c r="AB28" i="1"/>
  <c r="AB31" i="1"/>
  <c r="AB27" i="1"/>
  <c r="AB12" i="1"/>
  <c r="AB39" i="1"/>
  <c r="AB38" i="1"/>
  <c r="AB40" i="1"/>
  <c r="AB15" i="1"/>
  <c r="AF14" i="1"/>
  <c r="AB41" i="1"/>
  <c r="AB16" i="1"/>
  <c r="AF15" i="1"/>
  <c r="AB17" i="1"/>
  <c r="AF16" i="1"/>
  <c r="AB42" i="1"/>
  <c r="AF17" i="1"/>
  <c r="AB43" i="1"/>
  <c r="AB44" i="1"/>
  <c r="AF18" i="1"/>
  <c r="AF19" i="1"/>
  <c r="AB45" i="1"/>
  <c r="AF20" i="1"/>
  <c r="AB46" i="1"/>
  <c r="AF21" i="1"/>
  <c r="AB48" i="1"/>
  <c r="AE23" i="1"/>
  <c r="AF23" i="1" s="1"/>
  <c r="AD24" i="1"/>
  <c r="AB47" i="1"/>
  <c r="R82" i="1"/>
  <c r="Q83" i="1"/>
  <c r="V17" i="1"/>
  <c r="U18" i="1"/>
  <c r="V82" i="1"/>
  <c r="U83" i="1"/>
  <c r="N86" i="1"/>
  <c r="M87" i="1"/>
  <c r="I110" i="1"/>
  <c r="J109" i="1"/>
  <c r="I95" i="1"/>
  <c r="J95" i="1" s="1"/>
  <c r="M22" i="1"/>
  <c r="N21" i="1"/>
  <c r="Q18" i="1"/>
  <c r="R17" i="1"/>
  <c r="I18" i="1"/>
  <c r="J17" i="1"/>
  <c r="AM24" i="1" l="1"/>
  <c r="AN24" i="1" s="1"/>
  <c r="AL25" i="1"/>
  <c r="AB49" i="1"/>
  <c r="AE24" i="1"/>
  <c r="AF24" i="1" s="1"/>
  <c r="AD25" i="1"/>
  <c r="AH25" i="1"/>
  <c r="AI24" i="1"/>
  <c r="AJ24" i="1" s="1"/>
  <c r="U19" i="1"/>
  <c r="V18" i="1"/>
  <c r="R83" i="1"/>
  <c r="Q84" i="1"/>
  <c r="V83" i="1"/>
  <c r="U84" i="1"/>
  <c r="N87" i="1"/>
  <c r="M88" i="1"/>
  <c r="I111" i="1"/>
  <c r="J110" i="1"/>
  <c r="I96" i="1"/>
  <c r="J96" i="1" s="1"/>
  <c r="M23" i="1"/>
  <c r="N22" i="1"/>
  <c r="I19" i="1"/>
  <c r="J18" i="1"/>
  <c r="Q19" i="1"/>
  <c r="R18" i="1"/>
  <c r="AM25" i="1" l="1"/>
  <c r="AN25" i="1" s="1"/>
  <c r="AL26" i="1"/>
  <c r="AI25" i="1"/>
  <c r="AJ25" i="1" s="1"/>
  <c r="AH26" i="1"/>
  <c r="AE25" i="1"/>
  <c r="AF25" i="1" s="1"/>
  <c r="AD26" i="1"/>
  <c r="V84" i="1"/>
  <c r="U85" i="1"/>
  <c r="R84" i="1"/>
  <c r="Q85" i="1"/>
  <c r="U20" i="1"/>
  <c r="V19" i="1"/>
  <c r="N88" i="1"/>
  <c r="M89" i="1"/>
  <c r="I112" i="1"/>
  <c r="J111" i="1"/>
  <c r="I97" i="1"/>
  <c r="Q20" i="1"/>
  <c r="R19" i="1"/>
  <c r="I20" i="1"/>
  <c r="J19" i="1"/>
  <c r="M24" i="1"/>
  <c r="N23" i="1"/>
  <c r="AM26" i="1" l="1"/>
  <c r="AN26" i="1" s="1"/>
  <c r="AL27" i="1"/>
  <c r="AH27" i="1"/>
  <c r="AI26" i="1"/>
  <c r="AJ26" i="1" s="1"/>
  <c r="AE26" i="1"/>
  <c r="AF26" i="1" s="1"/>
  <c r="AD27" i="1"/>
  <c r="V85" i="1"/>
  <c r="U86" i="1"/>
  <c r="U21" i="1"/>
  <c r="V20" i="1"/>
  <c r="J97" i="1"/>
  <c r="R85" i="1"/>
  <c r="Q86" i="1"/>
  <c r="N89" i="1"/>
  <c r="M90" i="1"/>
  <c r="J112" i="1"/>
  <c r="I113" i="1"/>
  <c r="I98" i="1"/>
  <c r="J98" i="1" s="1"/>
  <c r="M25" i="1"/>
  <c r="N24" i="1"/>
  <c r="I21" i="1"/>
  <c r="J20" i="1"/>
  <c r="R20" i="1"/>
  <c r="Q21" i="1"/>
  <c r="AL28" i="1" l="1"/>
  <c r="AM27" i="1"/>
  <c r="AN27" i="1" s="1"/>
  <c r="AI27" i="1"/>
  <c r="AJ27" i="1" s="1"/>
  <c r="AH28" i="1"/>
  <c r="AE27" i="1"/>
  <c r="AF27" i="1" s="1"/>
  <c r="AD28" i="1"/>
  <c r="U22" i="1"/>
  <c r="V21" i="1"/>
  <c r="R21" i="1"/>
  <c r="Q22" i="1"/>
  <c r="V86" i="1"/>
  <c r="U87" i="1"/>
  <c r="R86" i="1"/>
  <c r="Q87" i="1"/>
  <c r="N90" i="1"/>
  <c r="M91" i="1"/>
  <c r="I114" i="1"/>
  <c r="J113" i="1"/>
  <c r="I99" i="1"/>
  <c r="J99" i="1" s="1"/>
  <c r="I22" i="1"/>
  <c r="J21" i="1"/>
  <c r="M26" i="1"/>
  <c r="N25" i="1"/>
  <c r="AM28" i="1" l="1"/>
  <c r="AN28" i="1" s="1"/>
  <c r="AL29" i="1"/>
  <c r="AE28" i="1"/>
  <c r="AF28" i="1" s="1"/>
  <c r="AD29" i="1"/>
  <c r="AH29" i="1"/>
  <c r="AI28" i="1"/>
  <c r="AJ28" i="1" s="1"/>
  <c r="R87" i="1"/>
  <c r="Q88" i="1"/>
  <c r="Q23" i="1"/>
  <c r="R22" i="1"/>
  <c r="V87" i="1"/>
  <c r="U88" i="1"/>
  <c r="U23" i="1"/>
  <c r="V22" i="1"/>
  <c r="N91" i="1"/>
  <c r="M92" i="1"/>
  <c r="I115" i="1"/>
  <c r="J114" i="1"/>
  <c r="I100" i="1"/>
  <c r="M27" i="1"/>
  <c r="N26" i="1"/>
  <c r="I23" i="1"/>
  <c r="J22" i="1"/>
  <c r="AL30" i="1" l="1"/>
  <c r="AM29" i="1"/>
  <c r="AN29" i="1" s="1"/>
  <c r="AI29" i="1"/>
  <c r="AJ29" i="1" s="1"/>
  <c r="AH30" i="1"/>
  <c r="AE29" i="1"/>
  <c r="AF29" i="1" s="1"/>
  <c r="AD30" i="1"/>
  <c r="V88" i="1"/>
  <c r="U89" i="1"/>
  <c r="Q24" i="1"/>
  <c r="R23" i="1"/>
  <c r="R88" i="1"/>
  <c r="Q89" i="1"/>
  <c r="U24" i="1"/>
  <c r="V23" i="1"/>
  <c r="N92" i="1"/>
  <c r="M93" i="1"/>
  <c r="I101" i="1"/>
  <c r="J100" i="1"/>
  <c r="J115" i="1"/>
  <c r="I116" i="1"/>
  <c r="J116" i="1" s="1"/>
  <c r="I24" i="1"/>
  <c r="J23" i="1"/>
  <c r="M28" i="1"/>
  <c r="N27" i="1"/>
  <c r="AM30" i="1" l="1"/>
  <c r="AN30" i="1" s="1"/>
  <c r="AL31" i="1"/>
  <c r="AE30" i="1"/>
  <c r="AF30" i="1" s="1"/>
  <c r="AD31" i="1"/>
  <c r="AH31" i="1"/>
  <c r="AI30" i="1"/>
  <c r="AJ30" i="1" s="1"/>
  <c r="R89" i="1"/>
  <c r="Q90" i="1"/>
  <c r="U25" i="1"/>
  <c r="V24" i="1"/>
  <c r="V89" i="1"/>
  <c r="U90" i="1"/>
  <c r="Q25" i="1"/>
  <c r="R24" i="1"/>
  <c r="N93" i="1"/>
  <c r="M94" i="1"/>
  <c r="I102" i="1"/>
  <c r="J101" i="1"/>
  <c r="M29" i="1"/>
  <c r="N28" i="1"/>
  <c r="I26" i="1"/>
  <c r="J24" i="1"/>
  <c r="AL32" i="1" l="1"/>
  <c r="AM31" i="1"/>
  <c r="AN31" i="1" s="1"/>
  <c r="AI31" i="1"/>
  <c r="AJ31" i="1" s="1"/>
  <c r="AH32" i="1"/>
  <c r="AE31" i="1"/>
  <c r="AF31" i="1" s="1"/>
  <c r="AD32" i="1"/>
  <c r="Q26" i="1"/>
  <c r="R25" i="1"/>
  <c r="R90" i="1"/>
  <c r="Q91" i="1"/>
  <c r="U26" i="1"/>
  <c r="V25" i="1"/>
  <c r="V90" i="1"/>
  <c r="U91" i="1"/>
  <c r="N94" i="1"/>
  <c r="M95" i="1"/>
  <c r="I103" i="1"/>
  <c r="J102" i="1"/>
  <c r="I27" i="1"/>
  <c r="I28" i="1" s="1"/>
  <c r="J26" i="1"/>
  <c r="M30" i="1"/>
  <c r="N29" i="1"/>
  <c r="AM32" i="1" l="1"/>
  <c r="AN32" i="1" s="1"/>
  <c r="AL33" i="1"/>
  <c r="AE32" i="1"/>
  <c r="AF32" i="1" s="1"/>
  <c r="AD33" i="1"/>
  <c r="AH33" i="1"/>
  <c r="AI32" i="1"/>
  <c r="AJ32" i="1" s="1"/>
  <c r="R91" i="1"/>
  <c r="Q92" i="1"/>
  <c r="V91" i="1"/>
  <c r="U92" i="1"/>
  <c r="Q27" i="1"/>
  <c r="R26" i="1"/>
  <c r="U27" i="1"/>
  <c r="V26" i="1"/>
  <c r="I29" i="1"/>
  <c r="J28" i="1"/>
  <c r="M96" i="1"/>
  <c r="N95" i="1"/>
  <c r="J27" i="1"/>
  <c r="I104" i="1"/>
  <c r="J103" i="1"/>
  <c r="M31" i="1"/>
  <c r="N30" i="1"/>
  <c r="AM33" i="1" l="1"/>
  <c r="AN33" i="1" s="1"/>
  <c r="AL34" i="1"/>
  <c r="AI33" i="1"/>
  <c r="AJ33" i="1" s="1"/>
  <c r="AH34" i="1"/>
  <c r="AE33" i="1"/>
  <c r="AF33" i="1" s="1"/>
  <c r="AD34" i="1"/>
  <c r="U28" i="1"/>
  <c r="V27" i="1"/>
  <c r="R92" i="1"/>
  <c r="Q93" i="1"/>
  <c r="V92" i="1"/>
  <c r="U93" i="1"/>
  <c r="Q28" i="1"/>
  <c r="R27" i="1"/>
  <c r="I30" i="1"/>
  <c r="J29" i="1"/>
  <c r="M97" i="1"/>
  <c r="N96" i="1"/>
  <c r="I105" i="1"/>
  <c r="J104" i="1"/>
  <c r="M32" i="1"/>
  <c r="N31" i="1"/>
  <c r="AL35" i="1" l="1"/>
  <c r="AM34" i="1"/>
  <c r="AN34" i="1" s="1"/>
  <c r="AE34" i="1"/>
  <c r="AF34" i="1" s="1"/>
  <c r="AD35" i="1"/>
  <c r="AH35" i="1"/>
  <c r="AI34" i="1"/>
  <c r="AJ34" i="1" s="1"/>
  <c r="R93" i="1"/>
  <c r="Q94" i="1"/>
  <c r="Q29" i="1"/>
  <c r="R28" i="1"/>
  <c r="V93" i="1"/>
  <c r="U94" i="1"/>
  <c r="U29" i="1"/>
  <c r="V28" i="1"/>
  <c r="N97" i="1"/>
  <c r="M98" i="1"/>
  <c r="I31" i="1"/>
  <c r="J30" i="1"/>
  <c r="J105" i="1"/>
  <c r="I106" i="1"/>
  <c r="M33" i="1"/>
  <c r="N32" i="1"/>
  <c r="AL36" i="1" l="1"/>
  <c r="AM36" i="1" s="1"/>
  <c r="AN36" i="1" s="1"/>
  <c r="AN37" i="1" s="1"/>
  <c r="AM35" i="1"/>
  <c r="AN35" i="1" s="1"/>
  <c r="AI35" i="1"/>
  <c r="AJ35" i="1" s="1"/>
  <c r="AH36" i="1"/>
  <c r="AE35" i="1"/>
  <c r="AF35" i="1" s="1"/>
  <c r="AD36" i="1"/>
  <c r="AE36" i="1" s="1"/>
  <c r="U30" i="1"/>
  <c r="V29" i="1"/>
  <c r="Q30" i="1"/>
  <c r="R29" i="1"/>
  <c r="R94" i="1"/>
  <c r="Q95" i="1"/>
  <c r="V94" i="1"/>
  <c r="U95" i="1"/>
  <c r="M99" i="1"/>
  <c r="N98" i="1"/>
  <c r="I32" i="1"/>
  <c r="J31" i="1"/>
  <c r="J106" i="1"/>
  <c r="I107" i="1"/>
  <c r="J107" i="1" s="1"/>
  <c r="J117" i="1" s="1"/>
  <c r="M34" i="1"/>
  <c r="N33" i="1"/>
  <c r="AM37" i="1" l="1"/>
  <c r="AF36" i="1"/>
  <c r="AF37" i="1" s="1"/>
  <c r="AE37" i="1"/>
  <c r="AI36" i="1"/>
  <c r="AJ36" i="1" s="1"/>
  <c r="AH37" i="1"/>
  <c r="Q31" i="1"/>
  <c r="R30" i="1"/>
  <c r="R95" i="1"/>
  <c r="Q96" i="1"/>
  <c r="U31" i="1"/>
  <c r="V30" i="1"/>
  <c r="V95" i="1"/>
  <c r="U96" i="1"/>
  <c r="M100" i="1"/>
  <c r="N99" i="1"/>
  <c r="I33" i="1"/>
  <c r="J32" i="1"/>
  <c r="M35" i="1"/>
  <c r="N34" i="1"/>
  <c r="AH38" i="1" l="1"/>
  <c r="AI37" i="1"/>
  <c r="AJ37" i="1" s="1"/>
  <c r="K81" i="1"/>
  <c r="K96" i="1"/>
  <c r="K97" i="1"/>
  <c r="O84" i="1"/>
  <c r="K86" i="1"/>
  <c r="K115" i="1"/>
  <c r="K82" i="1"/>
  <c r="K87" i="1"/>
  <c r="K116" i="1"/>
  <c r="K111" i="1"/>
  <c r="K79" i="1"/>
  <c r="O82" i="1"/>
  <c r="K108" i="1"/>
  <c r="O86" i="1"/>
  <c r="O92" i="1"/>
  <c r="O95" i="1"/>
  <c r="O81" i="1"/>
  <c r="K89" i="1"/>
  <c r="K95" i="1"/>
  <c r="K91" i="1"/>
  <c r="K90" i="1"/>
  <c r="K93" i="1"/>
  <c r="O85" i="1"/>
  <c r="K109" i="1"/>
  <c r="K101" i="1"/>
  <c r="K100" i="1"/>
  <c r="O90" i="1"/>
  <c r="K84" i="1"/>
  <c r="K99" i="1"/>
  <c r="K94" i="1"/>
  <c r="O89" i="1"/>
  <c r="O93" i="1"/>
  <c r="O94" i="1"/>
  <c r="O80" i="1"/>
  <c r="K103" i="1"/>
  <c r="K113" i="1"/>
  <c r="O83" i="1"/>
  <c r="K98" i="1"/>
  <c r="K80" i="1"/>
  <c r="K114" i="1"/>
  <c r="K102" i="1"/>
  <c r="K83" i="1"/>
  <c r="K110" i="1"/>
  <c r="O79" i="1"/>
  <c r="K88" i="1"/>
  <c r="O87" i="1"/>
  <c r="O88" i="1"/>
  <c r="K112" i="1"/>
  <c r="O91" i="1"/>
  <c r="K92" i="1"/>
  <c r="K85" i="1"/>
  <c r="K104" i="1"/>
  <c r="O96" i="1"/>
  <c r="O97" i="1"/>
  <c r="K105" i="1"/>
  <c r="O98" i="1"/>
  <c r="K106" i="1"/>
  <c r="O99" i="1"/>
  <c r="K107" i="1"/>
  <c r="Q32" i="1"/>
  <c r="R31" i="1"/>
  <c r="V96" i="1"/>
  <c r="U97" i="1"/>
  <c r="R96" i="1"/>
  <c r="Q97" i="1"/>
  <c r="U32" i="1"/>
  <c r="V31" i="1"/>
  <c r="M101" i="1"/>
  <c r="N100" i="1"/>
  <c r="O100" i="1" s="1"/>
  <c r="I34" i="1"/>
  <c r="J33" i="1"/>
  <c r="M36" i="1"/>
  <c r="N36" i="1" s="1"/>
  <c r="N37" i="1" s="1"/>
  <c r="N35" i="1"/>
  <c r="AI38" i="1" l="1"/>
  <c r="AJ38" i="1" s="1"/>
  <c r="AH39" i="1"/>
  <c r="K117" i="1"/>
  <c r="Q33" i="1"/>
  <c r="R32" i="1"/>
  <c r="R97" i="1"/>
  <c r="Q98" i="1"/>
  <c r="U33" i="1"/>
  <c r="V32" i="1"/>
  <c r="V97" i="1"/>
  <c r="U98" i="1"/>
  <c r="M102" i="1"/>
  <c r="N101" i="1"/>
  <c r="O101" i="1" s="1"/>
  <c r="I35" i="1"/>
  <c r="J34" i="1"/>
  <c r="AI39" i="1" l="1"/>
  <c r="AJ39" i="1" s="1"/>
  <c r="AH40" i="1"/>
  <c r="R98" i="1"/>
  <c r="Q99" i="1"/>
  <c r="Q34" i="1"/>
  <c r="R33" i="1"/>
  <c r="U34" i="1"/>
  <c r="V33" i="1"/>
  <c r="V98" i="1"/>
  <c r="U99" i="1"/>
  <c r="O12" i="1"/>
  <c r="O14" i="1"/>
  <c r="O13" i="1"/>
  <c r="M103" i="1"/>
  <c r="N103" i="1" s="1"/>
  <c r="N102" i="1"/>
  <c r="O102" i="1" s="1"/>
  <c r="I36" i="1"/>
  <c r="J35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6" i="1"/>
  <c r="O35" i="1"/>
  <c r="AH41" i="1" l="1"/>
  <c r="AI40" i="1"/>
  <c r="AJ40" i="1" s="1"/>
  <c r="O37" i="1"/>
  <c r="R99" i="1"/>
  <c r="Q100" i="1"/>
  <c r="V99" i="1"/>
  <c r="U100" i="1"/>
  <c r="U35" i="1"/>
  <c r="V34" i="1"/>
  <c r="Q35" i="1"/>
  <c r="R34" i="1"/>
  <c r="O103" i="1"/>
  <c r="O104" i="1" s="1"/>
  <c r="N104" i="1"/>
  <c r="I37" i="1"/>
  <c r="J36" i="1"/>
  <c r="AI41" i="1" l="1"/>
  <c r="AJ41" i="1" s="1"/>
  <c r="AH42" i="1"/>
  <c r="V100" i="1"/>
  <c r="U101" i="1"/>
  <c r="R100" i="1"/>
  <c r="Q101" i="1"/>
  <c r="Q36" i="1"/>
  <c r="R35" i="1"/>
  <c r="V35" i="1"/>
  <c r="U36" i="1"/>
  <c r="V36" i="1" s="1"/>
  <c r="I38" i="1"/>
  <c r="J37" i="1"/>
  <c r="AI42" i="1" l="1"/>
  <c r="AJ42" i="1" s="1"/>
  <c r="AH43" i="1"/>
  <c r="V37" i="1"/>
  <c r="W35" i="1" s="1"/>
  <c r="R101" i="1"/>
  <c r="Q102" i="1"/>
  <c r="W100" i="1"/>
  <c r="V101" i="1"/>
  <c r="W101" i="1" s="1"/>
  <c r="U102" i="1"/>
  <c r="Q37" i="1"/>
  <c r="R36" i="1"/>
  <c r="I39" i="1"/>
  <c r="J38" i="1"/>
  <c r="AI43" i="1" l="1"/>
  <c r="AJ43" i="1" s="1"/>
  <c r="AH44" i="1"/>
  <c r="R102" i="1"/>
  <c r="Q103" i="1"/>
  <c r="Q38" i="1"/>
  <c r="R37" i="1"/>
  <c r="W21" i="1"/>
  <c r="W79" i="1"/>
  <c r="W80" i="1"/>
  <c r="W12" i="1"/>
  <c r="W81" i="1"/>
  <c r="W82" i="1"/>
  <c r="W15" i="1"/>
  <c r="W14" i="1"/>
  <c r="W13" i="1"/>
  <c r="W17" i="1"/>
  <c r="W16" i="1"/>
  <c r="W83" i="1"/>
  <c r="W18" i="1"/>
  <c r="W19" i="1"/>
  <c r="W84" i="1"/>
  <c r="W85" i="1"/>
  <c r="W20" i="1"/>
  <c r="W86" i="1"/>
  <c r="W87" i="1"/>
  <c r="W22" i="1"/>
  <c r="W23" i="1"/>
  <c r="W88" i="1"/>
  <c r="W24" i="1"/>
  <c r="W89" i="1"/>
  <c r="W25" i="1"/>
  <c r="W90" i="1"/>
  <c r="W91" i="1"/>
  <c r="W26" i="1"/>
  <c r="W92" i="1"/>
  <c r="W27" i="1"/>
  <c r="W28" i="1"/>
  <c r="W93" i="1"/>
  <c r="W94" i="1"/>
  <c r="W29" i="1"/>
  <c r="W30" i="1"/>
  <c r="W95" i="1"/>
  <c r="W31" i="1"/>
  <c r="W96" i="1"/>
  <c r="W97" i="1"/>
  <c r="W32" i="1"/>
  <c r="W98" i="1"/>
  <c r="W33" i="1"/>
  <c r="W34" i="1"/>
  <c r="W99" i="1"/>
  <c r="W36" i="1"/>
  <c r="V102" i="1"/>
  <c r="W102" i="1" s="1"/>
  <c r="U103" i="1"/>
  <c r="I40" i="1"/>
  <c r="J39" i="1"/>
  <c r="AH45" i="1" l="1"/>
  <c r="AI44" i="1"/>
  <c r="AJ44" i="1" s="1"/>
  <c r="V103" i="1"/>
  <c r="V104" i="1" s="1"/>
  <c r="W37" i="1"/>
  <c r="Q39" i="1"/>
  <c r="R38" i="1"/>
  <c r="R103" i="1"/>
  <c r="Q104" i="1"/>
  <c r="I41" i="1"/>
  <c r="J40" i="1"/>
  <c r="AI45" i="1" l="1"/>
  <c r="AJ45" i="1" s="1"/>
  <c r="AH46" i="1"/>
  <c r="Q40" i="1"/>
  <c r="R39" i="1"/>
  <c r="R104" i="1"/>
  <c r="Q105" i="1"/>
  <c r="W103" i="1"/>
  <c r="W104" i="1" s="1"/>
  <c r="I42" i="1"/>
  <c r="J41" i="1"/>
  <c r="AI46" i="1" l="1"/>
  <c r="AJ46" i="1" s="1"/>
  <c r="AH47" i="1"/>
  <c r="Q41" i="1"/>
  <c r="R40" i="1"/>
  <c r="R105" i="1"/>
  <c r="Q106" i="1"/>
  <c r="I43" i="1"/>
  <c r="J42" i="1"/>
  <c r="AI47" i="1" l="1"/>
  <c r="AJ47" i="1" s="1"/>
  <c r="AH48" i="1"/>
  <c r="Q42" i="1"/>
  <c r="R41" i="1"/>
  <c r="R106" i="1"/>
  <c r="Q107" i="1"/>
  <c r="I44" i="1"/>
  <c r="J43" i="1"/>
  <c r="AH49" i="1" l="1"/>
  <c r="AI48" i="1"/>
  <c r="AJ48" i="1" s="1"/>
  <c r="Q43" i="1"/>
  <c r="R42" i="1"/>
  <c r="R107" i="1"/>
  <c r="Q108" i="1"/>
  <c r="I45" i="1"/>
  <c r="J44" i="1"/>
  <c r="AI49" i="1" l="1"/>
  <c r="AJ49" i="1" s="1"/>
  <c r="AH50" i="1"/>
  <c r="Q44" i="1"/>
  <c r="R43" i="1"/>
  <c r="R108" i="1"/>
  <c r="Q109" i="1"/>
  <c r="I46" i="1"/>
  <c r="J45" i="1"/>
  <c r="AH51" i="1" l="1"/>
  <c r="AI50" i="1"/>
  <c r="AJ50" i="1" s="1"/>
  <c r="R109" i="1"/>
  <c r="Q110" i="1"/>
  <c r="Q45" i="1"/>
  <c r="R44" i="1"/>
  <c r="I47" i="1"/>
  <c r="J46" i="1"/>
  <c r="AH52" i="1" l="1"/>
  <c r="AI51" i="1"/>
  <c r="AJ51" i="1" s="1"/>
  <c r="R110" i="1"/>
  <c r="Q111" i="1"/>
  <c r="Q46" i="1"/>
  <c r="R45" i="1"/>
  <c r="I48" i="1"/>
  <c r="J48" i="1" s="1"/>
  <c r="J49" i="1" s="1"/>
  <c r="J47" i="1"/>
  <c r="AI52" i="1" l="1"/>
  <c r="AJ52" i="1" s="1"/>
  <c r="AH53" i="1"/>
  <c r="R111" i="1"/>
  <c r="Q112" i="1"/>
  <c r="Q47" i="1"/>
  <c r="R46" i="1"/>
  <c r="AI53" i="1" l="1"/>
  <c r="AJ53" i="1" s="1"/>
  <c r="AH54" i="1"/>
  <c r="R112" i="1"/>
  <c r="Q113" i="1"/>
  <c r="Q48" i="1"/>
  <c r="R47" i="1"/>
  <c r="K16" i="1"/>
  <c r="K24" i="1"/>
  <c r="K28" i="1"/>
  <c r="K17" i="1"/>
  <c r="K27" i="1"/>
  <c r="K19" i="1"/>
  <c r="K20" i="1"/>
  <c r="K15" i="1"/>
  <c r="K18" i="1"/>
  <c r="K26" i="1"/>
  <c r="K12" i="1"/>
  <c r="K23" i="1"/>
  <c r="K13" i="1"/>
  <c r="K14" i="1"/>
  <c r="K21" i="1"/>
  <c r="K25" i="1"/>
  <c r="K22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8" i="1"/>
  <c r="K47" i="1"/>
  <c r="AI54" i="1" l="1"/>
  <c r="AJ54" i="1" s="1"/>
  <c r="AH55" i="1"/>
  <c r="K49" i="1"/>
  <c r="L20" i="1"/>
  <c r="L28" i="1"/>
  <c r="L26" i="1"/>
  <c r="L39" i="1"/>
  <c r="L18" i="1"/>
  <c r="L47" i="1"/>
  <c r="L31" i="1"/>
  <c r="L27" i="1"/>
  <c r="L17" i="1"/>
  <c r="L44" i="1"/>
  <c r="L16" i="1"/>
  <c r="L21" i="1"/>
  <c r="L24" i="1"/>
  <c r="L45" i="1"/>
  <c r="L36" i="1"/>
  <c r="L43" i="1"/>
  <c r="L42" i="1"/>
  <c r="L34" i="1"/>
  <c r="L15" i="1"/>
  <c r="L29" i="1"/>
  <c r="L46" i="1"/>
  <c r="L38" i="1"/>
  <c r="L37" i="1"/>
  <c r="L23" i="1"/>
  <c r="L35" i="1"/>
  <c r="L41" i="1"/>
  <c r="L33" i="1"/>
  <c r="L25" i="1"/>
  <c r="L19" i="1"/>
  <c r="L22" i="1"/>
  <c r="L40" i="1"/>
  <c r="L32" i="1"/>
  <c r="L14" i="1"/>
  <c r="L30" i="1"/>
  <c r="R48" i="1"/>
  <c r="Q49" i="1"/>
  <c r="R113" i="1"/>
  <c r="Q114" i="1"/>
  <c r="AI55" i="1" l="1"/>
  <c r="AJ55" i="1" s="1"/>
  <c r="AH56" i="1"/>
  <c r="Q115" i="1"/>
  <c r="R114" i="1"/>
  <c r="Q50" i="1"/>
  <c r="R49" i="1"/>
  <c r="AI56" i="1" l="1"/>
  <c r="AJ56" i="1" s="1"/>
  <c r="AH57" i="1"/>
  <c r="Q51" i="1"/>
  <c r="R50" i="1"/>
  <c r="R115" i="1"/>
  <c r="Q116" i="1"/>
  <c r="AI57" i="1" l="1"/>
  <c r="AJ57" i="1" s="1"/>
  <c r="AH58" i="1"/>
  <c r="R116" i="1"/>
  <c r="Q117" i="1"/>
  <c r="Q52" i="1"/>
  <c r="R51" i="1"/>
  <c r="AH59" i="1" l="1"/>
  <c r="AI58" i="1"/>
  <c r="AJ58" i="1" s="1"/>
  <c r="R117" i="1"/>
  <c r="Q118" i="1"/>
  <c r="Q53" i="1"/>
  <c r="R52" i="1"/>
  <c r="AI59" i="1" l="1"/>
  <c r="AJ59" i="1" s="1"/>
  <c r="AH60" i="1"/>
  <c r="Q54" i="1"/>
  <c r="R53" i="1"/>
  <c r="R118" i="1"/>
  <c r="Q119" i="1"/>
  <c r="AI60" i="1" l="1"/>
  <c r="AJ60" i="1" s="1"/>
  <c r="AH61" i="1"/>
  <c r="Q55" i="1"/>
  <c r="R54" i="1"/>
  <c r="R119" i="1"/>
  <c r="Q120" i="1"/>
  <c r="AI61" i="1" l="1"/>
  <c r="AJ61" i="1" s="1"/>
  <c r="AH62" i="1"/>
  <c r="R120" i="1"/>
  <c r="Q121" i="1"/>
  <c r="Q56" i="1"/>
  <c r="R55" i="1"/>
  <c r="AI62" i="1" l="1"/>
  <c r="AJ62" i="1" s="1"/>
  <c r="AH63" i="1"/>
  <c r="Q57" i="1"/>
  <c r="R56" i="1"/>
  <c r="R121" i="1"/>
  <c r="Q122" i="1"/>
  <c r="AI63" i="1" l="1"/>
  <c r="AJ63" i="1" s="1"/>
  <c r="AH64" i="1"/>
  <c r="Q58" i="1"/>
  <c r="R57" i="1"/>
  <c r="R122" i="1"/>
  <c r="Q123" i="1"/>
  <c r="R130" i="1"/>
  <c r="AI64" i="1" l="1"/>
  <c r="AJ64" i="1" s="1"/>
  <c r="AH65" i="1"/>
  <c r="R123" i="1"/>
  <c r="Q124" i="1"/>
  <c r="Q59" i="1"/>
  <c r="R58" i="1"/>
  <c r="Q131" i="1"/>
  <c r="R131" i="1" s="1"/>
  <c r="AI65" i="1" l="1"/>
  <c r="AJ65" i="1" s="1"/>
  <c r="AH66" i="1"/>
  <c r="R124" i="1"/>
  <c r="Q125" i="1"/>
  <c r="Q60" i="1"/>
  <c r="R59" i="1"/>
  <c r="Q132" i="1"/>
  <c r="R132" i="1" s="1"/>
  <c r="AH67" i="1" l="1"/>
  <c r="AI66" i="1"/>
  <c r="AJ66" i="1" s="1"/>
  <c r="Q61" i="1"/>
  <c r="R60" i="1"/>
  <c r="R125" i="1"/>
  <c r="Q126" i="1"/>
  <c r="Q133" i="1"/>
  <c r="R133" i="1" s="1"/>
  <c r="AH68" i="1" l="1"/>
  <c r="AI67" i="1"/>
  <c r="AJ67" i="1" s="1"/>
  <c r="R126" i="1"/>
  <c r="Q127" i="1"/>
  <c r="Q62" i="1"/>
  <c r="R61" i="1"/>
  <c r="Q134" i="1"/>
  <c r="R134" i="1" s="1"/>
  <c r="AI68" i="1" l="1"/>
  <c r="AJ68" i="1" s="1"/>
  <c r="AH69" i="1"/>
  <c r="Q63" i="1"/>
  <c r="R62" i="1"/>
  <c r="R127" i="1"/>
  <c r="Q128" i="1"/>
  <c r="Q135" i="1"/>
  <c r="R135" i="1" s="1"/>
  <c r="AH70" i="1" l="1"/>
  <c r="AI69" i="1"/>
  <c r="AJ69" i="1" s="1"/>
  <c r="R128" i="1"/>
  <c r="Q129" i="1"/>
  <c r="R129" i="1" s="1"/>
  <c r="Q64" i="1"/>
  <c r="R63" i="1"/>
  <c r="Q136" i="1"/>
  <c r="R136" i="1" s="1"/>
  <c r="AI70" i="1" l="1"/>
  <c r="AJ70" i="1" s="1"/>
  <c r="AH71" i="1"/>
  <c r="AI71" i="1" s="1"/>
  <c r="Q65" i="1"/>
  <c r="R64" i="1"/>
  <c r="Q137" i="1"/>
  <c r="R137" i="1" s="1"/>
  <c r="AJ71" i="1" l="1"/>
  <c r="AJ72" i="1" s="1"/>
  <c r="AI72" i="1"/>
  <c r="Q66" i="1"/>
  <c r="R65" i="1"/>
  <c r="Q138" i="1"/>
  <c r="R138" i="1" s="1"/>
  <c r="Q67" i="1" l="1"/>
  <c r="R66" i="1"/>
  <c r="R139" i="1"/>
  <c r="Q68" i="1" l="1"/>
  <c r="R67" i="1"/>
  <c r="Q69" i="1" l="1"/>
  <c r="R68" i="1"/>
  <c r="Q70" i="1" l="1"/>
  <c r="R69" i="1"/>
  <c r="Q71" i="1" l="1"/>
  <c r="R71" i="1" s="1"/>
  <c r="R70" i="1"/>
  <c r="R72" i="1" l="1"/>
  <c r="S71" i="1" l="1"/>
  <c r="S51" i="1"/>
  <c r="S79" i="1"/>
  <c r="S80" i="1"/>
  <c r="S81" i="1"/>
  <c r="S82" i="1"/>
  <c r="S83" i="1"/>
  <c r="S84" i="1"/>
  <c r="S85" i="1"/>
  <c r="S21" i="1"/>
  <c r="S14" i="1"/>
  <c r="S20" i="1"/>
  <c r="S15" i="1"/>
  <c r="S19" i="1"/>
  <c r="S16" i="1"/>
  <c r="S13" i="1"/>
  <c r="S17" i="1"/>
  <c r="S18" i="1"/>
  <c r="S86" i="1"/>
  <c r="S12" i="1"/>
  <c r="S87" i="1"/>
  <c r="S22" i="1"/>
  <c r="S88" i="1"/>
  <c r="S23" i="1"/>
  <c r="S24" i="1"/>
  <c r="S89" i="1"/>
  <c r="S25" i="1"/>
  <c r="S90" i="1"/>
  <c r="S26" i="1"/>
  <c r="S91" i="1"/>
  <c r="S92" i="1"/>
  <c r="S27" i="1"/>
  <c r="S93" i="1"/>
  <c r="S28" i="1"/>
  <c r="S29" i="1"/>
  <c r="S94" i="1"/>
  <c r="S30" i="1"/>
  <c r="S95" i="1"/>
  <c r="S31" i="1"/>
  <c r="S96" i="1"/>
  <c r="S32" i="1"/>
  <c r="S97" i="1"/>
  <c r="S33" i="1"/>
  <c r="S98" i="1"/>
  <c r="S34" i="1"/>
  <c r="S99" i="1"/>
  <c r="S100" i="1"/>
  <c r="S35" i="1"/>
  <c r="S36" i="1"/>
  <c r="S101" i="1"/>
  <c r="S102" i="1"/>
  <c r="S37" i="1"/>
  <c r="S38" i="1"/>
  <c r="S103" i="1"/>
  <c r="S104" i="1"/>
  <c r="S39" i="1"/>
  <c r="S40" i="1"/>
  <c r="S105" i="1"/>
  <c r="S106" i="1"/>
  <c r="S41" i="1"/>
  <c r="S107" i="1"/>
  <c r="S42" i="1"/>
  <c r="S43" i="1"/>
  <c r="S108" i="1"/>
  <c r="S109" i="1"/>
  <c r="S44" i="1"/>
  <c r="S110" i="1"/>
  <c r="S45" i="1"/>
  <c r="S111" i="1"/>
  <c r="S46" i="1"/>
  <c r="S47" i="1"/>
  <c r="S112" i="1"/>
  <c r="S113" i="1"/>
  <c r="S48" i="1"/>
  <c r="S114" i="1"/>
  <c r="S49" i="1"/>
  <c r="S115" i="1"/>
  <c r="S50" i="1"/>
  <c r="S116" i="1"/>
  <c r="S52" i="1"/>
  <c r="S117" i="1"/>
  <c r="S53" i="1"/>
  <c r="S118" i="1"/>
  <c r="S119" i="1"/>
  <c r="S54" i="1"/>
  <c r="S120" i="1"/>
  <c r="S55" i="1"/>
  <c r="S56" i="1"/>
  <c r="S121" i="1"/>
  <c r="S122" i="1"/>
  <c r="S57" i="1"/>
  <c r="S130" i="1"/>
  <c r="S131" i="1"/>
  <c r="S123" i="1"/>
  <c r="S58" i="1"/>
  <c r="S124" i="1"/>
  <c r="S132" i="1"/>
  <c r="S59" i="1"/>
  <c r="S125" i="1"/>
  <c r="S133" i="1"/>
  <c r="S60" i="1"/>
  <c r="S126" i="1"/>
  <c r="S134" i="1"/>
  <c r="S61" i="1"/>
  <c r="S127" i="1"/>
  <c r="S62" i="1"/>
  <c r="S135" i="1"/>
  <c r="S136" i="1"/>
  <c r="S129" i="1"/>
  <c r="S63" i="1"/>
  <c r="S128" i="1"/>
  <c r="S64" i="1"/>
  <c r="S137" i="1"/>
  <c r="S65" i="1"/>
  <c r="S138" i="1"/>
  <c r="S66" i="1"/>
  <c r="S67" i="1"/>
  <c r="S68" i="1"/>
  <c r="S69" i="1"/>
  <c r="S70" i="1"/>
  <c r="S139" i="1" l="1"/>
  <c r="S72" i="1"/>
  <c r="I5" i="1" l="1"/>
  <c r="I4" i="1" s="1"/>
</calcChain>
</file>

<file path=xl/sharedStrings.xml><?xml version="1.0" encoding="utf-8"?>
<sst xmlns="http://schemas.openxmlformats.org/spreadsheetml/2006/main" count="416" uniqueCount="30">
  <si>
    <t>sl</t>
  </si>
  <si>
    <t>sw</t>
  </si>
  <si>
    <t>pl</t>
  </si>
  <si>
    <t>pw</t>
  </si>
  <si>
    <t>Cl</t>
  </si>
  <si>
    <t>Iris-setosa</t>
  </si>
  <si>
    <t>Iris-versicolor</t>
  </si>
  <si>
    <t>Iris-virginica</t>
  </si>
  <si>
    <t>punkt</t>
  </si>
  <si>
    <t>min</t>
  </si>
  <si>
    <t>Klasa1</t>
  </si>
  <si>
    <t>max</t>
  </si>
  <si>
    <t>p-stwo</t>
  </si>
  <si>
    <t>suma</t>
  </si>
  <si>
    <t>zakres sl</t>
  </si>
  <si>
    <t>zakres sw</t>
  </si>
  <si>
    <t>ilość</t>
  </si>
  <si>
    <t>zakres pl</t>
  </si>
  <si>
    <t>zakres pw</t>
  </si>
  <si>
    <t>Klasa2</t>
  </si>
  <si>
    <t>Klasa3</t>
  </si>
  <si>
    <t>Klasyfikator Bayesa</t>
  </si>
  <si>
    <t>Klasa 1</t>
  </si>
  <si>
    <t>Klasa 2</t>
  </si>
  <si>
    <t>Klasa 3</t>
  </si>
  <si>
    <t>P-stwo</t>
  </si>
  <si>
    <t>NB</t>
  </si>
  <si>
    <t>Skuteczność algorytmu</t>
  </si>
  <si>
    <t>Wagi</t>
  </si>
  <si>
    <t>p-stwo 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</si>
</sst>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0" fontId="5" fillId="2" borderId="2" applyNumberFormat="0" applyAlignment="0" applyProtection="0"/>
    <xf numFmtId="9" fontId="6" fillId="0" borderId="0" applyFont="0" applyFill="0" applyBorder="0" applyAlignment="0" applyProtection="0"/>
  </cellStyleXfs>
  <cellXfs count="74">
    <xf numFmtId="0" fontId="0" fillId="0" borderId="0" xfId="0"/>
    <xf numFmtId="0" fontId="2" fillId="0" borderId="1" xfId="0" applyFont="1" applyBorder="1" applyAlignment="1">
      <alignment horizontal="center" vertical="top"/>
    </xf>
    <xf numFmtId="0" fontId="3" fillId="0" borderId="0" xfId="0" applyFont="1" applyFill="1"/>
    <xf numFmtId="0" fontId="4" fillId="0" borderId="0" xfId="0" applyFont="1"/>
    <xf numFmtId="164" fontId="3" fillId="0" borderId="0" xfId="0" applyNumberFormat="1" applyFont="1" applyFill="1"/>
    <xf numFmtId="164" fontId="0" fillId="0" borderId="0" xfId="0" applyNumberFormat="1"/>
    <xf numFmtId="0" fontId="4" fillId="0" borderId="1" xfId="0" applyFont="1" applyBorder="1" applyAlignment="1">
      <alignment horizontal="center"/>
    </xf>
    <xf numFmtId="0" fontId="0" fillId="0" borderId="1" xfId="0" applyBorder="1"/>
    <xf numFmtId="0" fontId="0" fillId="0" borderId="0" xfId="0" applyBorder="1"/>
    <xf numFmtId="164" fontId="0" fillId="0" borderId="3" xfId="0" applyNumberFormat="1" applyBorder="1"/>
    <xf numFmtId="0" fontId="0" fillId="0" borderId="4" xfId="0" applyBorder="1"/>
    <xf numFmtId="0" fontId="0" fillId="0" borderId="0" xfId="0" applyAlignment="1"/>
    <xf numFmtId="164" fontId="0" fillId="0" borderId="0" xfId="0" applyNumberFormat="1" applyBorder="1"/>
    <xf numFmtId="0" fontId="4" fillId="0" borderId="7" xfId="0" applyFont="1" applyBorder="1" applyAlignment="1"/>
    <xf numFmtId="0" fontId="0" fillId="0" borderId="6" xfId="0" applyBorder="1"/>
    <xf numFmtId="0" fontId="0" fillId="0" borderId="9" xfId="0" applyBorder="1"/>
    <xf numFmtId="0" fontId="0" fillId="0" borderId="10" xfId="0" applyBorder="1"/>
    <xf numFmtId="0" fontId="4" fillId="0" borderId="16" xfId="0" applyFont="1" applyBorder="1"/>
    <xf numFmtId="0" fontId="4" fillId="0" borderId="17" xfId="0" applyFon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4" fillId="0" borderId="8" xfId="0" applyFont="1" applyBorder="1"/>
    <xf numFmtId="164" fontId="0" fillId="0" borderId="19" xfId="0" applyNumberFormat="1" applyBorder="1"/>
    <xf numFmtId="164" fontId="0" fillId="0" borderId="21" xfId="0" applyNumberFormat="1" applyBorder="1"/>
    <xf numFmtId="164" fontId="0" fillId="0" borderId="22" xfId="0" applyNumberFormat="1" applyBorder="1"/>
    <xf numFmtId="164" fontId="0" fillId="0" borderId="9" xfId="0" applyNumberFormat="1" applyBorder="1"/>
    <xf numFmtId="0" fontId="4" fillId="0" borderId="26" xfId="0" applyFont="1" applyFill="1" applyBorder="1"/>
    <xf numFmtId="0" fontId="0" fillId="0" borderId="27" xfId="0" applyFill="1" applyBorder="1"/>
    <xf numFmtId="0" fontId="1" fillId="0" borderId="5" xfId="0" applyFont="1" applyBorder="1"/>
    <xf numFmtId="0" fontId="0" fillId="0" borderId="28" xfId="0" applyBorder="1"/>
    <xf numFmtId="0" fontId="5" fillId="2" borderId="11" xfId="1" applyBorder="1" applyAlignment="1">
      <alignment horizontal="center"/>
    </xf>
    <xf numFmtId="0" fontId="0" fillId="0" borderId="31" xfId="0" applyBorder="1"/>
    <xf numFmtId="0" fontId="0" fillId="0" borderId="0" xfId="0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4" xfId="0" applyBorder="1" applyAlignment="1">
      <alignment horizontal="center"/>
    </xf>
    <xf numFmtId="9" fontId="0" fillId="0" borderId="12" xfId="2" applyFont="1" applyBorder="1" applyAlignment="1">
      <alignment horizontal="center"/>
    </xf>
    <xf numFmtId="0" fontId="7" fillId="0" borderId="0" xfId="0" applyFont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4" xfId="0" applyBorder="1"/>
    <xf numFmtId="164" fontId="0" fillId="0" borderId="23" xfId="0" applyNumberFormat="1" applyBorder="1"/>
    <xf numFmtId="164" fontId="0" fillId="0" borderId="13" xfId="0" applyNumberFormat="1" applyBorder="1"/>
    <xf numFmtId="0" fontId="0" fillId="0" borderId="3" xfId="0" applyBorder="1"/>
    <xf numFmtId="0" fontId="0" fillId="0" borderId="15" xfId="0" applyBorder="1"/>
    <xf numFmtId="0" fontId="7" fillId="0" borderId="5" xfId="0" applyFont="1" applyBorder="1"/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1" xfId="0" applyBorder="1"/>
    <xf numFmtId="0" fontId="4" fillId="0" borderId="11" xfId="0" applyFont="1" applyBorder="1"/>
    <xf numFmtId="0" fontId="4" fillId="0" borderId="35" xfId="0" applyFont="1" applyBorder="1"/>
    <xf numFmtId="0" fontId="0" fillId="0" borderId="34" xfId="0" applyBorder="1"/>
    <xf numFmtId="0" fontId="4" fillId="0" borderId="33" xfId="0" applyFont="1" applyBorder="1"/>
    <xf numFmtId="0" fontId="4" fillId="0" borderId="36" xfId="0" applyFont="1" applyBorder="1"/>
    <xf numFmtId="0" fontId="0" fillId="0" borderId="37" xfId="0" applyBorder="1"/>
    <xf numFmtId="0" fontId="0" fillId="0" borderId="38" xfId="0" applyBorder="1"/>
    <xf numFmtId="0" fontId="4" fillId="0" borderId="39" xfId="0" applyFont="1" applyBorder="1"/>
    <xf numFmtId="0" fontId="0" fillId="0" borderId="40" xfId="0" applyBorder="1"/>
    <xf numFmtId="0" fontId="0" fillId="0" borderId="12" xfId="0" applyBorder="1"/>
    <xf numFmtId="0" fontId="4" fillId="0" borderId="24" xfId="0" applyFont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4" fillId="0" borderId="42" xfId="0" applyFont="1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4" fillId="0" borderId="34" xfId="0" applyFont="1" applyBorder="1"/>
    <xf numFmtId="0" fontId="0" fillId="0" borderId="33" xfId="0" applyBorder="1"/>
    <xf numFmtId="0" fontId="0" fillId="0" borderId="1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17" xfId="0" applyBorder="1" applyAlignment="1">
      <alignment horizontal="center"/>
    </xf>
    <xf numFmtId="164" fontId="0" fillId="0" borderId="33" xfId="0" applyNumberFormat="1" applyBorder="1"/>
    <xf numFmtId="0" fontId="4" fillId="0" borderId="23" xfId="0" applyFont="1" applyBorder="1" applyAlignment="1">
      <alignment horizontal="center"/>
    </xf>
    <xf numFmtId="0" fontId="4" fillId="0" borderId="25" xfId="0" applyFont="1" applyBorder="1" applyAlignment="1">
      <alignment horizontal="center"/>
    </xf>
  </cellXfs>
  <cellStyles count="3">
    <cellStyle name="Dane wejściowe" xfId="1" builtinId="20"/>
    <cellStyle name="Normalny" xfId="0" builtinId="0"/>
    <cellStyle name="Procentowy" xfId="2" builtinId="5"/>
  </cellStyles>
  <dxfs count="5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345281</xdr:colOff>
      <xdr:row>1</xdr:row>
      <xdr:rowOff>11907</xdr:rowOff>
    </xdr:from>
    <xdr:to>
      <xdr:col>7</xdr:col>
      <xdr:colOff>1000126</xdr:colOff>
      <xdr:row>6</xdr:row>
      <xdr:rowOff>104776</xdr:rowOff>
    </xdr:to>
    <xdr:pic macro="[0]!Beyes">
      <xdr:nvPicPr>
        <xdr:cNvPr id="3" name="Grafika 2" descr="Wykres słupkowy">
          <a:extLst>
            <a:ext uri="{FF2B5EF4-FFF2-40B4-BE49-F238E27FC236}">
              <a16:creationId xmlns:a16="http://schemas.microsoft.com/office/drawing/2014/main" id="{3518152F-DFC3-4E9A-8E17-D9215D84B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14812" y="202407"/>
          <a:ext cx="1535907" cy="10810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2:AO161"/>
  <sheetViews>
    <sheetView tabSelected="1" zoomScale="80" zoomScaleNormal="80" workbookViewId="0">
      <selection activeCell="H11" sqref="H11"/>
    </sheetView>
  </sheetViews>
  <sheetFormatPr defaultRowHeight="15" x14ac:dyDescent="0.25"/>
  <cols>
    <col min="2" max="3" width="11.28515625" customWidth="1"/>
    <col min="6" max="6" width="14.85546875" bestFit="1" customWidth="1"/>
    <col min="7" max="7" width="13.140625" bestFit="1" customWidth="1"/>
    <col min="8" max="9" width="19.28515625" bestFit="1" customWidth="1"/>
    <col min="10" max="10" width="13.28515625" customWidth="1"/>
    <col min="11" max="11" width="13.140625" customWidth="1"/>
    <col min="12" max="12" width="13.42578125" customWidth="1"/>
    <col min="13" max="13" width="10" bestFit="1" customWidth="1"/>
    <col min="14" max="14" width="13" bestFit="1" customWidth="1"/>
    <col min="16" max="16" width="11.5703125" bestFit="1" customWidth="1"/>
    <col min="18" max="18" width="10.140625" bestFit="1" customWidth="1"/>
    <col min="19" max="19" width="7.28515625" bestFit="1" customWidth="1"/>
    <col min="20" max="20" width="11.5703125" bestFit="1" customWidth="1"/>
    <col min="21" max="21" width="10.140625" bestFit="1" customWidth="1"/>
    <col min="23" max="23" width="7.28515625" bestFit="1" customWidth="1"/>
    <col min="24" max="24" width="11.5703125" bestFit="1" customWidth="1"/>
    <col min="29" max="29" width="11.5703125" bestFit="1" customWidth="1"/>
    <col min="33" max="33" width="11.5703125" bestFit="1" customWidth="1"/>
    <col min="37" max="37" width="11.5703125" bestFit="1" customWidth="1"/>
    <col min="41" max="41" width="11.5703125" bestFit="1" customWidth="1"/>
  </cols>
  <sheetData>
    <row r="2" spans="1:41" ht="15.75" thickBot="1" x14ac:dyDescent="0.3">
      <c r="J2" s="11"/>
      <c r="K2" s="11"/>
    </row>
    <row r="3" spans="1:41" x14ac:dyDescent="0.25">
      <c r="I3" s="13" t="s">
        <v>21</v>
      </c>
      <c r="J3" s="29" t="s">
        <v>22</v>
      </c>
      <c r="K3" s="29" t="s">
        <v>23</v>
      </c>
      <c r="L3" s="29" t="s">
        <v>24</v>
      </c>
      <c r="N3" s="69" t="s">
        <v>28</v>
      </c>
      <c r="O3" s="68"/>
      <c r="P3" s="68"/>
      <c r="Q3" s="68"/>
      <c r="R3" s="70"/>
    </row>
    <row r="4" spans="1:41" ht="15.75" thickBot="1" x14ac:dyDescent="0.3">
      <c r="B4" t="s">
        <v>8</v>
      </c>
      <c r="C4" s="1" t="s">
        <v>0</v>
      </c>
      <c r="D4" s="1" t="s">
        <v>1</v>
      </c>
      <c r="E4" s="1" t="s">
        <v>2</v>
      </c>
      <c r="F4" s="1" t="s">
        <v>3</v>
      </c>
      <c r="I4" s="31" t="str">
        <f>IF(AND(J4=0,K4=0,L4=0),"Brak danych",HLOOKUP(I5,J4:L5,2,FALSE))</f>
        <v>Klasa 3</v>
      </c>
      <c r="J4" s="30">
        <f>VLOOKUP(C5,I12:L48,4,TRUE)*VLOOKUP(D5,M12:P36,4,TRUE)*VLOOKUP(E5,Q12:T71,4,TRUE)*VLOOKUP(F5,U12:X36,4,TRUE)*N8</f>
        <v>0</v>
      </c>
      <c r="K4" s="30">
        <f>VLOOKUP(C5,Z12:AC48,4,TRUE)*VLOOKUP(D5,AD12:AG36,4,TRUE)*VLOOKUP(E5,AH12:AK71,4,TRUE)*VLOOKUP(F5,AL12:AO36,4,TRUE)*AE8</f>
        <v>1.4664960000000004E-6</v>
      </c>
      <c r="L4" s="30">
        <f>VLOOKUP(C5,I79:L116,4,TRUE)*VLOOKUP(D5,M79:P103,4,TRUE)*VLOOKUP(E5,Q79:T138,4,TRUE)*VLOOKUP(F5,U79:X103,4,TRUE)*N75</f>
        <v>7.3359000000000004E-6</v>
      </c>
      <c r="N4" s="67">
        <v>0.05</v>
      </c>
      <c r="O4" s="51">
        <v>0.2</v>
      </c>
      <c r="P4" s="51">
        <v>0.5</v>
      </c>
      <c r="Q4" s="51">
        <v>0.2</v>
      </c>
      <c r="R4" s="54">
        <v>0.05</v>
      </c>
      <c r="Z4" s="3"/>
    </row>
    <row r="5" spans="1:41" x14ac:dyDescent="0.25">
      <c r="C5" s="5">
        <v>5.9</v>
      </c>
      <c r="D5">
        <v>3</v>
      </c>
      <c r="E5">
        <v>5.0999999999999996</v>
      </c>
      <c r="F5">
        <v>1.8</v>
      </c>
      <c r="I5" s="38">
        <f>MAX(J4:L4)</f>
        <v>7.3359000000000004E-6</v>
      </c>
      <c r="J5" s="47" t="s">
        <v>22</v>
      </c>
      <c r="K5" s="47" t="s">
        <v>23</v>
      </c>
      <c r="L5" s="47" t="s">
        <v>24</v>
      </c>
    </row>
    <row r="6" spans="1:41" ht="15.75" thickBot="1" x14ac:dyDescent="0.3">
      <c r="K6" s="33"/>
    </row>
    <row r="7" spans="1:41" ht="15.75" thickBot="1" x14ac:dyDescent="0.3">
      <c r="I7" s="22" t="s">
        <v>10</v>
      </c>
      <c r="J7" s="17" t="s">
        <v>0</v>
      </c>
      <c r="K7" s="17" t="s">
        <v>1</v>
      </c>
      <c r="L7" s="17" t="s">
        <v>2</v>
      </c>
      <c r="M7" s="18" t="s">
        <v>3</v>
      </c>
      <c r="N7" s="27" t="s">
        <v>25</v>
      </c>
      <c r="Z7" s="22" t="s">
        <v>19</v>
      </c>
      <c r="AA7" s="17" t="s">
        <v>0</v>
      </c>
      <c r="AB7" s="17" t="s">
        <v>1</v>
      </c>
      <c r="AC7" s="17" t="s">
        <v>2</v>
      </c>
      <c r="AD7" s="18" t="s">
        <v>3</v>
      </c>
      <c r="AE7" s="27" t="s">
        <v>25</v>
      </c>
    </row>
    <row r="8" spans="1:41" ht="15.75" thickBot="1" x14ac:dyDescent="0.3">
      <c r="B8" s="48" t="s">
        <v>27</v>
      </c>
      <c r="C8" s="48"/>
      <c r="D8" s="37">
        <f>COUNTIF(G12:G61,J3)/150+COUNTIF(G62:G111,K3)/150+COUNTIF(G112:G161,L3)/150</f>
        <v>0.97333333333333327</v>
      </c>
      <c r="I8" s="19" t="s">
        <v>9</v>
      </c>
      <c r="J8" s="12">
        <f>MIN(B12:B61)</f>
        <v>4.3</v>
      </c>
      <c r="K8" s="8">
        <f>MIN(C12:C61)</f>
        <v>2.2999999999999998</v>
      </c>
      <c r="L8" s="8">
        <f>MIN(D12:D61)</f>
        <v>1</v>
      </c>
      <c r="M8" s="20">
        <f>MIN(E12:E61)</f>
        <v>0.1</v>
      </c>
      <c r="N8" s="28">
        <f>COUNTIF(F12:F161,F12)/150</f>
        <v>0.33333333333333331</v>
      </c>
      <c r="Z8" s="19" t="s">
        <v>9</v>
      </c>
      <c r="AA8" s="12">
        <f>MIN(B62:B111)</f>
        <v>4.9000000000000004</v>
      </c>
      <c r="AB8" s="12">
        <f>MIN(C62:C111)</f>
        <v>2</v>
      </c>
      <c r="AC8" s="12">
        <f>MIN(D62:D111)</f>
        <v>3</v>
      </c>
      <c r="AD8" s="23">
        <f>MIN(E62:E111)</f>
        <v>1</v>
      </c>
      <c r="AE8" s="28">
        <f>COUNTIF(F12:F161,F62)/150</f>
        <v>0.33333333333333331</v>
      </c>
    </row>
    <row r="9" spans="1:41" ht="15.75" thickBot="1" x14ac:dyDescent="0.3">
      <c r="I9" s="19" t="s">
        <v>11</v>
      </c>
      <c r="J9" s="8">
        <f>MAX(B12:B61)</f>
        <v>5.8</v>
      </c>
      <c r="K9" s="8">
        <f>MAX(C12:C61)</f>
        <v>4.4000000000000004</v>
      </c>
      <c r="L9" s="8">
        <f>MAX(D12:D61)</f>
        <v>1.9</v>
      </c>
      <c r="M9" s="20">
        <f>MAX(E12:E61)</f>
        <v>0.6</v>
      </c>
      <c r="S9" s="3"/>
      <c r="T9" s="3"/>
      <c r="Z9" s="19" t="s">
        <v>11</v>
      </c>
      <c r="AA9" s="12">
        <f>MAX(B62:B111)</f>
        <v>7</v>
      </c>
      <c r="AB9" s="12">
        <f>MAX(C62:C111)</f>
        <v>3.4</v>
      </c>
      <c r="AC9" s="12">
        <f>MAX(D62:D111)</f>
        <v>5.0999999999999996</v>
      </c>
      <c r="AD9" s="23">
        <f>MAX(E62:E111)</f>
        <v>1.8</v>
      </c>
    </row>
    <row r="10" spans="1:41" x14ac:dyDescent="0.25">
      <c r="I10" s="63" t="s">
        <v>0</v>
      </c>
      <c r="J10" s="64"/>
      <c r="K10" s="64"/>
      <c r="L10" s="65"/>
      <c r="M10" s="63" t="s">
        <v>1</v>
      </c>
      <c r="N10" s="64"/>
      <c r="O10" s="64"/>
      <c r="P10" s="65"/>
      <c r="Q10" s="63" t="s">
        <v>2</v>
      </c>
      <c r="R10" s="64"/>
      <c r="S10" s="64"/>
      <c r="T10" s="65"/>
      <c r="U10" s="63" t="s">
        <v>3</v>
      </c>
      <c r="V10" s="64"/>
      <c r="W10" s="64"/>
      <c r="X10" s="65"/>
      <c r="Z10" s="72" t="s">
        <v>0</v>
      </c>
      <c r="AA10" s="62"/>
      <c r="AB10" s="62"/>
      <c r="AC10" s="62"/>
      <c r="AD10" s="62" t="s">
        <v>1</v>
      </c>
      <c r="AE10" s="62"/>
      <c r="AF10" s="62"/>
      <c r="AG10" s="62"/>
      <c r="AH10" s="62" t="s">
        <v>2</v>
      </c>
      <c r="AI10" s="62"/>
      <c r="AJ10" s="62"/>
      <c r="AK10" s="62"/>
      <c r="AL10" s="62" t="s">
        <v>3</v>
      </c>
      <c r="AM10" s="62"/>
      <c r="AN10" s="62"/>
      <c r="AO10" s="73"/>
    </row>
    <row r="11" spans="1:41" ht="15.75" thickBot="1" x14ac:dyDescent="0.3">
      <c r="B11" s="1" t="s">
        <v>0</v>
      </c>
      <c r="C11" s="1" t="s">
        <v>1</v>
      </c>
      <c r="D11" s="1" t="s">
        <v>2</v>
      </c>
      <c r="E11" s="1" t="s">
        <v>3</v>
      </c>
      <c r="F11" s="1" t="s">
        <v>4</v>
      </c>
      <c r="G11" s="6" t="s">
        <v>26</v>
      </c>
      <c r="I11" s="49" t="s">
        <v>14</v>
      </c>
      <c r="J11" s="50" t="s">
        <v>16</v>
      </c>
      <c r="K11" s="50" t="s">
        <v>12</v>
      </c>
      <c r="L11" s="66" t="s">
        <v>29</v>
      </c>
      <c r="M11" s="55" t="s">
        <v>15</v>
      </c>
      <c r="N11" s="50" t="s">
        <v>16</v>
      </c>
      <c r="O11" s="50" t="s">
        <v>12</v>
      </c>
      <c r="P11" s="66" t="s">
        <v>29</v>
      </c>
      <c r="Q11" s="49" t="s">
        <v>17</v>
      </c>
      <c r="R11" s="50" t="s">
        <v>16</v>
      </c>
      <c r="S11" s="50" t="s">
        <v>12</v>
      </c>
      <c r="T11" s="66" t="s">
        <v>29</v>
      </c>
      <c r="U11" s="49" t="s">
        <v>18</v>
      </c>
      <c r="V11" s="50" t="s">
        <v>16</v>
      </c>
      <c r="W11" s="50" t="s">
        <v>12</v>
      </c>
      <c r="X11" s="66" t="s">
        <v>29</v>
      </c>
      <c r="Z11" s="49" t="s">
        <v>14</v>
      </c>
      <c r="AA11" s="50" t="s">
        <v>16</v>
      </c>
      <c r="AB11" s="50" t="s">
        <v>12</v>
      </c>
      <c r="AC11" s="52" t="s">
        <v>29</v>
      </c>
      <c r="AD11" s="52" t="s">
        <v>15</v>
      </c>
      <c r="AE11" s="50" t="s">
        <v>16</v>
      </c>
      <c r="AF11" s="50" t="s">
        <v>12</v>
      </c>
      <c r="AG11" s="52" t="s">
        <v>29</v>
      </c>
      <c r="AH11" s="50" t="s">
        <v>17</v>
      </c>
      <c r="AI11" s="50" t="s">
        <v>16</v>
      </c>
      <c r="AJ11" s="50" t="s">
        <v>12</v>
      </c>
      <c r="AK11" s="52" t="s">
        <v>29</v>
      </c>
      <c r="AL11" s="50" t="s">
        <v>18</v>
      </c>
      <c r="AM11" s="50" t="s">
        <v>16</v>
      </c>
      <c r="AN11" s="50" t="s">
        <v>12</v>
      </c>
      <c r="AO11" s="66" t="s">
        <v>29</v>
      </c>
    </row>
    <row r="12" spans="1:41" x14ac:dyDescent="0.25">
      <c r="A12" s="1">
        <v>1</v>
      </c>
      <c r="B12" s="4">
        <v>5.0999999999999996</v>
      </c>
      <c r="C12" s="2">
        <v>3.5</v>
      </c>
      <c r="D12" s="2">
        <v>1.4</v>
      </c>
      <c r="E12" s="2">
        <v>0.2</v>
      </c>
      <c r="F12" s="2" t="s">
        <v>5</v>
      </c>
      <c r="G12" s="34" t="s">
        <v>22</v>
      </c>
      <c r="I12" s="39">
        <f>J8</f>
        <v>4.3</v>
      </c>
      <c r="J12" s="40">
        <f>COUNTIF($B$12:$B$61,I12)</f>
        <v>1</v>
      </c>
      <c r="K12" s="40">
        <f>J12/$J$49</f>
        <v>0.02</v>
      </c>
      <c r="L12" s="41">
        <f>$P$4*K12+$Q$4*K13+$R$4*K14</f>
        <v>2.3E-2</v>
      </c>
      <c r="M12" s="43">
        <f>AB8</f>
        <v>2</v>
      </c>
      <c r="N12" s="40">
        <f t="shared" ref="N12:N14" si="0">COUNTIF($C$12:$C$61,M12)</f>
        <v>0</v>
      </c>
      <c r="O12" s="40">
        <f>N12/$N$37</f>
        <v>0</v>
      </c>
      <c r="P12" s="41">
        <f>$P$4*O12+$Q$4*O13+$R$4*O14</f>
        <v>0</v>
      </c>
      <c r="Q12" s="39">
        <f>L8</f>
        <v>1</v>
      </c>
      <c r="R12" s="40">
        <f>COUNTIF($D$12:$D$61,Q12)</f>
        <v>1</v>
      </c>
      <c r="S12" s="40">
        <f>R12/$R$72</f>
        <v>0.02</v>
      </c>
      <c r="T12" s="41">
        <f>$P$4*S12+$Q$4*S13+$R$4*S14</f>
        <v>1.6E-2</v>
      </c>
      <c r="U12" s="39">
        <f>M8</f>
        <v>0.1</v>
      </c>
      <c r="V12" s="40">
        <f>COUNTIF($E$12:$E$61,U12)</f>
        <v>6</v>
      </c>
      <c r="W12" s="40">
        <f>V12/$V$37</f>
        <v>0.12</v>
      </c>
      <c r="X12" s="41">
        <f>$P$4*W12+$Q$4*W13+$R$4*W14</f>
        <v>0.17900000000000002</v>
      </c>
      <c r="Z12" s="43">
        <f>J8</f>
        <v>4.3</v>
      </c>
      <c r="AA12" s="40">
        <f t="shared" ref="AA12:AA17" si="1">COUNTIF($B$62:$B$111,Z12)</f>
        <v>0</v>
      </c>
      <c r="AB12" s="40">
        <f>AA12/$AA$49</f>
        <v>0</v>
      </c>
      <c r="AC12" s="41">
        <f>$P$4*AB12+$Q$4*AB13+$R$4*AB14</f>
        <v>0</v>
      </c>
      <c r="AD12" s="43">
        <f>AB8</f>
        <v>2</v>
      </c>
      <c r="AE12" s="40">
        <f>COUNTIF($C$62:$C$111,AD12)</f>
        <v>1</v>
      </c>
      <c r="AF12" s="40">
        <f>AE12/$AA$49</f>
        <v>0.02</v>
      </c>
      <c r="AG12" s="60">
        <f>$P$4*AF12+$Q$4*AF13+$R$4*AF14</f>
        <v>1.2E-2</v>
      </c>
      <c r="AH12" s="39">
        <f>L8</f>
        <v>1</v>
      </c>
      <c r="AI12" s="40">
        <f>COUNTIF($D$62:$D$111,AH12)</f>
        <v>0</v>
      </c>
      <c r="AJ12" s="40">
        <f>AI12/$R$72</f>
        <v>0</v>
      </c>
      <c r="AK12" s="41">
        <f>$P$4*AJ12+$Q$4*AJ13+$R$4*AJ14</f>
        <v>0</v>
      </c>
      <c r="AL12" s="39">
        <f>M8</f>
        <v>0.1</v>
      </c>
      <c r="AM12" s="40">
        <f>COUNTIF($E$62:$E$111,AL12)</f>
        <v>0</v>
      </c>
      <c r="AN12" s="40">
        <f>AM12/$V$37</f>
        <v>0</v>
      </c>
      <c r="AO12" s="41">
        <f>$P$4*AN12+$Q$4*AN13+$R$4*AN14</f>
        <v>0</v>
      </c>
    </row>
    <row r="13" spans="1:41" x14ac:dyDescent="0.25">
      <c r="A13" s="1">
        <v>2</v>
      </c>
      <c r="B13" s="5">
        <v>4.9000000000000004</v>
      </c>
      <c r="C13">
        <v>3</v>
      </c>
      <c r="D13">
        <v>1.4</v>
      </c>
      <c r="E13">
        <v>0.2</v>
      </c>
      <c r="F13" t="s">
        <v>5</v>
      </c>
      <c r="G13" s="35" t="s">
        <v>22</v>
      </c>
      <c r="I13" s="15">
        <f>I12+0.1</f>
        <v>4.3999999999999995</v>
      </c>
      <c r="J13" s="7">
        <f>COUNTIF($B$12:$B$61,I13)</f>
        <v>3</v>
      </c>
      <c r="K13" s="7">
        <f>J13/$J$49</f>
        <v>0.06</v>
      </c>
      <c r="L13" s="16">
        <f>$O$4*K12+$P$4*K13+$Q$4*K14+$R$4*K15</f>
        <v>4.200000000000001E-2</v>
      </c>
      <c r="M13" s="26">
        <f>M12+0.1</f>
        <v>2.1</v>
      </c>
      <c r="N13" s="7">
        <f t="shared" si="0"/>
        <v>0</v>
      </c>
      <c r="O13" s="7">
        <f>N13/$N$37</f>
        <v>0</v>
      </c>
      <c r="P13" s="16">
        <f>$O$4*O12+$P$4*O13+$Q$4*O14+$R$4*O15</f>
        <v>1E-3</v>
      </c>
      <c r="Q13" s="15">
        <f>Q12+0.1</f>
        <v>1.1000000000000001</v>
      </c>
      <c r="R13" s="7">
        <f t="shared" ref="R13:R71" si="2">COUNTIF($D$12:$D$61,Q13)</f>
        <v>1</v>
      </c>
      <c r="S13" s="7">
        <f>R13/$R$72</f>
        <v>0.02</v>
      </c>
      <c r="T13" s="16">
        <f>$O$4*S12+$P$4*S13+$Q$4*S14+$R$4*S15</f>
        <v>2.8999999999999998E-2</v>
      </c>
      <c r="U13" s="15">
        <f>U12+0.1</f>
        <v>0.2</v>
      </c>
      <c r="V13" s="7">
        <f t="shared" ref="V13:V36" si="3">COUNTIF($E$12:$E$61,U13)</f>
        <v>28</v>
      </c>
      <c r="W13" s="7">
        <f>V13/$V$37</f>
        <v>0.56000000000000005</v>
      </c>
      <c r="X13" s="16">
        <f>$O$4*W12+$P$4*W13+$Q$4*W14+$R$4*W15</f>
        <v>0.33900000000000008</v>
      </c>
      <c r="Z13" s="26">
        <f>Z12+0.1</f>
        <v>4.3999999999999995</v>
      </c>
      <c r="AA13" s="7">
        <f t="shared" si="1"/>
        <v>0</v>
      </c>
      <c r="AB13" s="7">
        <f>AA13/$AA$49</f>
        <v>0</v>
      </c>
      <c r="AC13" s="16">
        <f>$O$4*AB12+$P$4*AB13+$Q$4*AB14+$R$4*AB15</f>
        <v>0</v>
      </c>
      <c r="AD13" s="26">
        <f>AD12+0.1</f>
        <v>2.1</v>
      </c>
      <c r="AE13" s="7">
        <f t="shared" ref="AE13:AE36" si="4">COUNTIF($C$62:$C$111,AD13)</f>
        <v>0</v>
      </c>
      <c r="AF13" s="7">
        <f>AE13/$AA$49</f>
        <v>0</v>
      </c>
      <c r="AG13" s="14">
        <f>$O$4*AF12+$P$4*AF13+$Q$4*AF14+$R$4*AF15</f>
        <v>1.4999999999999999E-2</v>
      </c>
      <c r="AH13" s="15">
        <f>AH12+0.1</f>
        <v>1.1000000000000001</v>
      </c>
      <c r="AI13" s="7">
        <f t="shared" ref="AI13:AI71" si="5">COUNTIF($D$62:$D$111,AH13)</f>
        <v>0</v>
      </c>
      <c r="AJ13" s="7">
        <f>AI13/$R$72</f>
        <v>0</v>
      </c>
      <c r="AK13" s="16">
        <f>$O$4*AJ12+$P$4*AJ13+$Q$4*AJ14+$R$4*AJ15</f>
        <v>0</v>
      </c>
      <c r="AL13" s="15">
        <f>AL12+0.1</f>
        <v>0.2</v>
      </c>
      <c r="AM13" s="7">
        <f t="shared" ref="AM13:AM36" si="6">COUNTIF($E$62:$E$111,AL13)</f>
        <v>0</v>
      </c>
      <c r="AN13" s="7">
        <f>AM13/$V$37</f>
        <v>0</v>
      </c>
      <c r="AO13" s="16">
        <f>$O$4*AN12+$P$4*AN13+$Q$4*AN14+$R$4*AN15</f>
        <v>0</v>
      </c>
    </row>
    <row r="14" spans="1:41" x14ac:dyDescent="0.25">
      <c r="A14" s="1">
        <v>3</v>
      </c>
      <c r="B14" s="5">
        <v>4.7</v>
      </c>
      <c r="C14">
        <v>3.2</v>
      </c>
      <c r="D14">
        <v>1.3</v>
      </c>
      <c r="E14">
        <v>0.2</v>
      </c>
      <c r="F14" t="s">
        <v>5</v>
      </c>
      <c r="G14" s="35" t="s">
        <v>22</v>
      </c>
      <c r="I14" s="15">
        <f>I13+0.1</f>
        <v>4.4999999999999991</v>
      </c>
      <c r="J14" s="7">
        <f>COUNTIF($B$12:$B$61,I14)</f>
        <v>1</v>
      </c>
      <c r="K14" s="7">
        <f>J14/$J$49</f>
        <v>0.02</v>
      </c>
      <c r="L14" s="16">
        <f>$N$4*K12+$O$4*K13+$P$4*K14+$Q$4*K15+$R$4*K16</f>
        <v>4.1000000000000002E-2</v>
      </c>
      <c r="M14" s="26">
        <f>M13+0.1</f>
        <v>2.2000000000000002</v>
      </c>
      <c r="N14" s="7">
        <f t="shared" si="0"/>
        <v>0</v>
      </c>
      <c r="O14" s="7">
        <f>N14/$N$37</f>
        <v>0</v>
      </c>
      <c r="P14" s="16">
        <f>$N$4*O12+$O$4*O13+$P$4*O14+$Q$4*O15+$R$4*O16</f>
        <v>4.0000000000000001E-3</v>
      </c>
      <c r="Q14" s="15">
        <f t="shared" ref="Q14:Q20" si="7">Q13+0.1</f>
        <v>1.2000000000000002</v>
      </c>
      <c r="R14" s="7">
        <f t="shared" si="2"/>
        <v>2</v>
      </c>
      <c r="S14" s="7">
        <f>R14/$R$72</f>
        <v>0.04</v>
      </c>
      <c r="T14" s="16">
        <f>$N$4*S12+$O$4*S13+$P$4*S14+$Q$4*S15+$R$4*S16</f>
        <v>6.5000000000000002E-2</v>
      </c>
      <c r="U14" s="15">
        <f t="shared" ref="U14:U36" si="8">U13+0.1</f>
        <v>0.30000000000000004</v>
      </c>
      <c r="V14" s="7">
        <f t="shared" si="3"/>
        <v>7</v>
      </c>
      <c r="W14" s="7">
        <f>V14/$V$37</f>
        <v>0.14000000000000001</v>
      </c>
      <c r="X14" s="16">
        <f>$N$4*W12+$O$4*W13+$P$4*W14+$Q$4*W15+$R$4*W16</f>
        <v>0.21700000000000003</v>
      </c>
      <c r="Z14" s="26">
        <f t="shared" ref="Z14:Z17" si="9">Z13+0.1</f>
        <v>4.4999999999999991</v>
      </c>
      <c r="AA14" s="7">
        <f t="shared" si="1"/>
        <v>0</v>
      </c>
      <c r="AB14" s="7">
        <f>AA14/$AA$49</f>
        <v>0</v>
      </c>
      <c r="AC14" s="16">
        <f>$N$4*AB12+$O$4*AB13+$P$4*AB14+$Q$4*AB15+$R$4*AB16</f>
        <v>0</v>
      </c>
      <c r="AD14" s="26">
        <f t="shared" ref="AD14:AD36" si="10">AD13+0.1</f>
        <v>2.2000000000000002</v>
      </c>
      <c r="AE14" s="7">
        <f t="shared" si="4"/>
        <v>2</v>
      </c>
      <c r="AF14" s="7">
        <f>AE14/$AA$49</f>
        <v>0.04</v>
      </c>
      <c r="AG14" s="14">
        <f>$N$4*AF12+$O$4*AF13+$P$4*AF14+$Q$4*AF15+$R$4*AF16</f>
        <v>3.6000000000000004E-2</v>
      </c>
      <c r="AH14" s="15">
        <f t="shared" ref="AH14:AH20" si="11">AH13+0.1</f>
        <v>1.2000000000000002</v>
      </c>
      <c r="AI14" s="7">
        <f t="shared" si="5"/>
        <v>0</v>
      </c>
      <c r="AJ14" s="7">
        <f>AI14/$R$72</f>
        <v>0</v>
      </c>
      <c r="AK14" s="16">
        <f>$N$4*AJ12+$O$4*AJ13+$P$4*AJ14+$Q$4*AJ15+$R$4*AJ16</f>
        <v>0</v>
      </c>
      <c r="AL14" s="15">
        <f t="shared" ref="AL14:AL36" si="12">AL13+0.1</f>
        <v>0.30000000000000004</v>
      </c>
      <c r="AM14" s="7">
        <f t="shared" si="6"/>
        <v>0</v>
      </c>
      <c r="AN14" s="7">
        <f>AM14/$V$37</f>
        <v>0</v>
      </c>
      <c r="AO14" s="16">
        <f>$N$4*AN12+$O$4*AN13+$P$4*AN14+$Q$4*AN15+$R$4*AN16</f>
        <v>0</v>
      </c>
    </row>
    <row r="15" spans="1:41" x14ac:dyDescent="0.25">
      <c r="A15" s="1">
        <v>4</v>
      </c>
      <c r="B15" s="5">
        <v>4.5999999999999996</v>
      </c>
      <c r="C15">
        <v>3.1</v>
      </c>
      <c r="D15">
        <v>1.5</v>
      </c>
      <c r="E15">
        <v>0.2</v>
      </c>
      <c r="F15" t="s">
        <v>5</v>
      </c>
      <c r="G15" s="35" t="s">
        <v>22</v>
      </c>
      <c r="I15" s="15">
        <f>I14+0.1</f>
        <v>4.5999999999999988</v>
      </c>
      <c r="J15" s="7">
        <f>COUNTIF($B$12:$B$61,I15)</f>
        <v>4</v>
      </c>
      <c r="K15" s="7">
        <f>J15/$J$49</f>
        <v>0.08</v>
      </c>
      <c r="L15" s="16">
        <f>$N$4*K13+$O$4*K14+$P$4*K15+$Q$4*K16+$R$4*K17</f>
        <v>0.06</v>
      </c>
      <c r="M15" s="15">
        <f>K8</f>
        <v>2.2999999999999998</v>
      </c>
      <c r="N15" s="7">
        <f>COUNTIF($C$12:$C$61,M15)</f>
        <v>1</v>
      </c>
      <c r="O15" s="7">
        <f>N15/$N$37</f>
        <v>0.02</v>
      </c>
      <c r="P15" s="16">
        <f t="shared" ref="P15:P36" si="13">$N$4*O13+$O$4*O14+$P$4*O15+$Q$4*O16+$R$4*O17</f>
        <v>0.01</v>
      </c>
      <c r="Q15" s="15">
        <f t="shared" si="7"/>
        <v>1.3000000000000003</v>
      </c>
      <c r="R15" s="7">
        <f t="shared" si="2"/>
        <v>7</v>
      </c>
      <c r="S15" s="7">
        <f>R15/$R$72</f>
        <v>0.14000000000000001</v>
      </c>
      <c r="T15" s="16">
        <f>$N$4*S13+$O$4*S14+$P$4*S15+$Q$4*S16+$R$4*S17</f>
        <v>0.14100000000000001</v>
      </c>
      <c r="U15" s="15">
        <f t="shared" si="8"/>
        <v>0.4</v>
      </c>
      <c r="V15" s="7">
        <f t="shared" si="3"/>
        <v>7</v>
      </c>
      <c r="W15" s="7">
        <f>V15/$V$37</f>
        <v>0.14000000000000001</v>
      </c>
      <c r="X15" s="16">
        <f t="shared" ref="X15:X34" si="14">$N$4*W13+$O$4*W14+$P$4*W15+$Q$4*W16+$R$4*W17</f>
        <v>0.13100000000000001</v>
      </c>
      <c r="Z15" s="26">
        <f t="shared" si="9"/>
        <v>4.5999999999999988</v>
      </c>
      <c r="AA15" s="7">
        <f t="shared" si="1"/>
        <v>0</v>
      </c>
      <c r="AB15" s="7">
        <f>AA15/$AA$49</f>
        <v>0</v>
      </c>
      <c r="AC15" s="16">
        <f>$N$4*AB13+$O$4*AB14+$P$4*AB15+$Q$4*AB16+$R$4*AB17</f>
        <v>0</v>
      </c>
      <c r="AD15" s="26">
        <f t="shared" si="10"/>
        <v>2.3000000000000003</v>
      </c>
      <c r="AE15" s="7">
        <f t="shared" si="4"/>
        <v>3</v>
      </c>
      <c r="AF15" s="7">
        <f>AE15/$AA$49</f>
        <v>0.06</v>
      </c>
      <c r="AG15" s="14">
        <f t="shared" ref="AG15:AG34" si="15">$N$4*AF13+$O$4*AF14+$P$4*AF15+$Q$4*AF16+$R$4*AF17</f>
        <v>5.4000000000000006E-2</v>
      </c>
      <c r="AH15" s="15">
        <f t="shared" si="11"/>
        <v>1.3000000000000003</v>
      </c>
      <c r="AI15" s="7">
        <f t="shared" si="5"/>
        <v>0</v>
      </c>
      <c r="AJ15" s="7">
        <f>AI15/$R$72</f>
        <v>0</v>
      </c>
      <c r="AK15" s="16">
        <f>$N$4*AJ13+$O$4*AJ14+$P$4*AJ15+$Q$4*AJ16+$R$4*AJ17</f>
        <v>0</v>
      </c>
      <c r="AL15" s="15">
        <f t="shared" si="12"/>
        <v>0.4</v>
      </c>
      <c r="AM15" s="7">
        <f t="shared" si="6"/>
        <v>0</v>
      </c>
      <c r="AN15" s="7">
        <f>AM15/$V$37</f>
        <v>0</v>
      </c>
      <c r="AO15" s="16">
        <f t="shared" ref="AO15:AO34" si="16">$N$4*AN13+$O$4*AN14+$P$4*AN15+$Q$4*AN16+$R$4*AN17</f>
        <v>0</v>
      </c>
    </row>
    <row r="16" spans="1:41" x14ac:dyDescent="0.25">
      <c r="A16" s="1">
        <v>5</v>
      </c>
      <c r="B16" s="5">
        <v>5</v>
      </c>
      <c r="C16">
        <v>3.6</v>
      </c>
      <c r="D16">
        <v>1.4</v>
      </c>
      <c r="E16">
        <v>0.2</v>
      </c>
      <c r="F16" t="s">
        <v>5</v>
      </c>
      <c r="G16" s="35" t="s">
        <v>22</v>
      </c>
      <c r="I16" s="15">
        <f>I15+0.1</f>
        <v>4.6999999999999984</v>
      </c>
      <c r="J16" s="7">
        <f>COUNTIF($B$12:$B$61,I16)</f>
        <v>2</v>
      </c>
      <c r="K16" s="7">
        <f>J16/$J$49</f>
        <v>0.04</v>
      </c>
      <c r="L16" s="16">
        <f>$N$4*K14+$O$4*K15+$P$4*K16+$Q$4*K17+$R$4*K18</f>
        <v>6.1000000000000013E-2</v>
      </c>
      <c r="M16" s="15">
        <f>M15+0.1</f>
        <v>2.4</v>
      </c>
      <c r="N16" s="7">
        <f t="shared" ref="N16:N36" si="17">COUNTIF($C$12:$C$61,M16)</f>
        <v>0</v>
      </c>
      <c r="O16" s="7">
        <f>N16/$N$37</f>
        <v>0</v>
      </c>
      <c r="P16" s="16">
        <f t="shared" si="13"/>
        <v>4.0000000000000001E-3</v>
      </c>
      <c r="Q16" s="15">
        <f t="shared" si="7"/>
        <v>1.4000000000000004</v>
      </c>
      <c r="R16" s="7">
        <f t="shared" si="2"/>
        <v>12</v>
      </c>
      <c r="S16" s="7">
        <f>R16/$R$72</f>
        <v>0.24</v>
      </c>
      <c r="T16" s="16">
        <f>$N$4*S14+$O$4*S15+$P$4*S16+$Q$4*S17+$R$4*S18</f>
        <v>0.21300000000000002</v>
      </c>
      <c r="U16" s="15">
        <f t="shared" si="8"/>
        <v>0.5</v>
      </c>
      <c r="V16" s="7">
        <f t="shared" si="3"/>
        <v>1</v>
      </c>
      <c r="W16" s="7">
        <f>V16/$V$37</f>
        <v>0.02</v>
      </c>
      <c r="X16" s="16">
        <f t="shared" si="14"/>
        <v>4.9000000000000002E-2</v>
      </c>
      <c r="Z16" s="26">
        <f t="shared" si="9"/>
        <v>4.6999999999999984</v>
      </c>
      <c r="AA16" s="7">
        <f t="shared" si="1"/>
        <v>0</v>
      </c>
      <c r="AB16" s="7">
        <f>AA16/$AA$49</f>
        <v>0</v>
      </c>
      <c r="AC16" s="16">
        <f>$N$4*AB14+$O$4*AB15+$P$4*AB16+$Q$4*AB17+$R$4*AB18</f>
        <v>1E-3</v>
      </c>
      <c r="AD16" s="26">
        <f t="shared" si="10"/>
        <v>2.4000000000000004</v>
      </c>
      <c r="AE16" s="7">
        <f t="shared" si="4"/>
        <v>3</v>
      </c>
      <c r="AF16" s="7">
        <f>AE16/$AA$49</f>
        <v>0.06</v>
      </c>
      <c r="AG16" s="14">
        <f t="shared" si="15"/>
        <v>6.3E-2</v>
      </c>
      <c r="AH16" s="15">
        <f t="shared" si="11"/>
        <v>1.4000000000000004</v>
      </c>
      <c r="AI16" s="7">
        <f t="shared" si="5"/>
        <v>0</v>
      </c>
      <c r="AJ16" s="7">
        <f>AI16/$R$72</f>
        <v>0</v>
      </c>
      <c r="AK16" s="16">
        <f>$N$4*AJ14+$O$4*AJ15+$P$4*AJ16+$Q$4*AJ17+$R$4*AJ18</f>
        <v>0</v>
      </c>
      <c r="AL16" s="15">
        <f t="shared" si="12"/>
        <v>0.5</v>
      </c>
      <c r="AM16" s="7">
        <f t="shared" si="6"/>
        <v>0</v>
      </c>
      <c r="AN16" s="7">
        <f>AM16/$V$37</f>
        <v>0</v>
      </c>
      <c r="AO16" s="16">
        <f t="shared" si="16"/>
        <v>0</v>
      </c>
    </row>
    <row r="17" spans="1:41" x14ac:dyDescent="0.25">
      <c r="A17" s="1">
        <v>6</v>
      </c>
      <c r="B17" s="5">
        <v>5.4</v>
      </c>
      <c r="C17">
        <v>3.9</v>
      </c>
      <c r="D17">
        <v>1.7</v>
      </c>
      <c r="E17">
        <v>0.4</v>
      </c>
      <c r="F17" t="s">
        <v>5</v>
      </c>
      <c r="G17" s="35" t="s">
        <v>22</v>
      </c>
      <c r="I17" s="15">
        <f>I16+0.1</f>
        <v>4.799999999999998</v>
      </c>
      <c r="J17" s="7">
        <f>COUNTIF($B$12:$B$61,I17)</f>
        <v>5</v>
      </c>
      <c r="K17" s="7">
        <f>J17/$J$49</f>
        <v>0.1</v>
      </c>
      <c r="L17" s="16">
        <f>$N$4*K15+$O$4*K16+$P$4*K17+$Q$4*K18+$R$4*K19</f>
        <v>8.5999999999999993E-2</v>
      </c>
      <c r="M17" s="15">
        <f t="shared" ref="M17:M36" si="18">M16+0.1</f>
        <v>2.5</v>
      </c>
      <c r="N17" s="7">
        <f t="shared" si="17"/>
        <v>0</v>
      </c>
      <c r="O17" s="7">
        <f>N17/$N$37</f>
        <v>0</v>
      </c>
      <c r="P17" s="16">
        <f t="shared" si="13"/>
        <v>1E-3</v>
      </c>
      <c r="Q17" s="15">
        <f t="shared" si="7"/>
        <v>1.5000000000000004</v>
      </c>
      <c r="R17" s="7">
        <f t="shared" si="2"/>
        <v>14</v>
      </c>
      <c r="S17" s="7">
        <f>R17/$R$72</f>
        <v>0.28000000000000003</v>
      </c>
      <c r="T17" s="16">
        <f>$N$4*S15+$O$4*S16+$P$4*S17+$Q$4*S18+$R$4*S19</f>
        <v>0.22700000000000001</v>
      </c>
      <c r="U17" s="15">
        <f t="shared" si="8"/>
        <v>0.6</v>
      </c>
      <c r="V17" s="7">
        <f t="shared" si="3"/>
        <v>1</v>
      </c>
      <c r="W17" s="7">
        <f>V17/$V$37</f>
        <v>0.02</v>
      </c>
      <c r="X17" s="16">
        <f t="shared" si="14"/>
        <v>2.1000000000000001E-2</v>
      </c>
      <c r="Z17" s="26">
        <f t="shared" si="9"/>
        <v>4.799999999999998</v>
      </c>
      <c r="AA17" s="7">
        <f t="shared" si="1"/>
        <v>0</v>
      </c>
      <c r="AB17" s="7">
        <f>AA17/$AA$49</f>
        <v>0</v>
      </c>
      <c r="AC17" s="16">
        <f>$N$4*AB15+$O$4*AB16+$P$4*AB17+$Q$4*AB18+$R$4*AB19</f>
        <v>6.0000000000000001E-3</v>
      </c>
      <c r="AD17" s="26">
        <f t="shared" si="10"/>
        <v>2.5000000000000004</v>
      </c>
      <c r="AE17" s="7">
        <f t="shared" si="4"/>
        <v>4</v>
      </c>
      <c r="AF17" s="7">
        <f>AE17/$AA$49</f>
        <v>0.08</v>
      </c>
      <c r="AG17" s="14">
        <f t="shared" si="15"/>
        <v>7.2000000000000008E-2</v>
      </c>
      <c r="AH17" s="15">
        <f t="shared" si="11"/>
        <v>1.5000000000000004</v>
      </c>
      <c r="AI17" s="7">
        <f t="shared" si="5"/>
        <v>0</v>
      </c>
      <c r="AJ17" s="7">
        <f>AI17/$R$72</f>
        <v>0</v>
      </c>
      <c r="AK17" s="16">
        <f>$N$4*AJ15+$O$4*AJ16+$P$4*AJ17+$Q$4*AJ18+$R$4*AJ19</f>
        <v>0</v>
      </c>
      <c r="AL17" s="15">
        <f t="shared" si="12"/>
        <v>0.6</v>
      </c>
      <c r="AM17" s="7">
        <f t="shared" si="6"/>
        <v>0</v>
      </c>
      <c r="AN17" s="7">
        <f>AM17/$V$37</f>
        <v>0</v>
      </c>
      <c r="AO17" s="16">
        <f t="shared" si="16"/>
        <v>0</v>
      </c>
    </row>
    <row r="18" spans="1:41" x14ac:dyDescent="0.25">
      <c r="A18" s="1">
        <v>7</v>
      </c>
      <c r="B18" s="5">
        <v>4.5999999999999996</v>
      </c>
      <c r="C18">
        <v>3.4</v>
      </c>
      <c r="D18">
        <v>1.4</v>
      </c>
      <c r="E18">
        <v>0.3</v>
      </c>
      <c r="F18" t="s">
        <v>5</v>
      </c>
      <c r="G18" s="35" t="s">
        <v>22</v>
      </c>
      <c r="I18" s="15">
        <f>I17+0.1</f>
        <v>4.8999999999999977</v>
      </c>
      <c r="J18" s="7">
        <f>COUNTIF($B$12:$B$61,I18)</f>
        <v>4</v>
      </c>
      <c r="K18" s="7">
        <f>J18/$J$49</f>
        <v>0.08</v>
      </c>
      <c r="L18" s="16">
        <f>$N$4*K16+$O$4*K17+$P$4*K18+$Q$4*K19+$R$4*K20</f>
        <v>0.10200000000000001</v>
      </c>
      <c r="M18" s="15">
        <f t="shared" si="18"/>
        <v>2.6</v>
      </c>
      <c r="N18" s="7">
        <f t="shared" si="17"/>
        <v>0</v>
      </c>
      <c r="O18" s="7">
        <f>N18/$N$37</f>
        <v>0</v>
      </c>
      <c r="P18" s="16">
        <f t="shared" si="13"/>
        <v>0</v>
      </c>
      <c r="Q18" s="15">
        <f t="shared" si="7"/>
        <v>1.6000000000000005</v>
      </c>
      <c r="R18" s="7">
        <f t="shared" si="2"/>
        <v>7</v>
      </c>
      <c r="S18" s="7">
        <f>R18/$R$72</f>
        <v>0.14000000000000001</v>
      </c>
      <c r="T18" s="16">
        <f>$N$4*S16+$O$4*S17+$P$4*S18+$Q$4*S19+$R$4*S20</f>
        <v>0.15400000000000003</v>
      </c>
      <c r="U18" s="15">
        <f t="shared" si="8"/>
        <v>0.7</v>
      </c>
      <c r="V18" s="7">
        <f t="shared" si="3"/>
        <v>0</v>
      </c>
      <c r="W18" s="7">
        <f>V18/$V$37</f>
        <v>0</v>
      </c>
      <c r="X18" s="16">
        <f t="shared" si="14"/>
        <v>5.0000000000000001E-3</v>
      </c>
      <c r="Z18" s="26">
        <f>AA8</f>
        <v>4.9000000000000004</v>
      </c>
      <c r="AA18" s="7">
        <f>COUNTIF($B$62:$B$111,Z18)</f>
        <v>1</v>
      </c>
      <c r="AB18" s="7">
        <f>AA18/$AA$49</f>
        <v>0.02</v>
      </c>
      <c r="AC18" s="16">
        <f>$N$4*AB16+$O$4*AB17+$P$4*AB18+$Q$4*AB19+$R$4*AB20</f>
        <v>1.9000000000000003E-2</v>
      </c>
      <c r="AD18" s="26">
        <f t="shared" si="10"/>
        <v>2.6000000000000005</v>
      </c>
      <c r="AE18" s="7">
        <f t="shared" si="4"/>
        <v>3</v>
      </c>
      <c r="AF18" s="7">
        <f>AE18/$AA$49</f>
        <v>0.06</v>
      </c>
      <c r="AG18" s="14">
        <f t="shared" si="15"/>
        <v>7.5000000000000011E-2</v>
      </c>
      <c r="AH18" s="15">
        <f t="shared" si="11"/>
        <v>1.6000000000000005</v>
      </c>
      <c r="AI18" s="7">
        <f t="shared" si="5"/>
        <v>0</v>
      </c>
      <c r="AJ18" s="7">
        <f>AI18/$R$72</f>
        <v>0</v>
      </c>
      <c r="AK18" s="16">
        <f>$N$4*AJ16+$O$4*AJ17+$P$4*AJ18+$Q$4*AJ19+$R$4*AJ20</f>
        <v>0</v>
      </c>
      <c r="AL18" s="15">
        <f t="shared" si="12"/>
        <v>0.7</v>
      </c>
      <c r="AM18" s="7">
        <f t="shared" si="6"/>
        <v>0</v>
      </c>
      <c r="AN18" s="7">
        <f>AM18/$V$37</f>
        <v>0</v>
      </c>
      <c r="AO18" s="16">
        <f t="shared" si="16"/>
        <v>0</v>
      </c>
    </row>
    <row r="19" spans="1:41" x14ac:dyDescent="0.25">
      <c r="A19" s="1">
        <v>8</v>
      </c>
      <c r="B19" s="5">
        <v>5</v>
      </c>
      <c r="C19">
        <v>3.4</v>
      </c>
      <c r="D19">
        <v>1.5</v>
      </c>
      <c r="E19">
        <v>0.2</v>
      </c>
      <c r="F19" t="s">
        <v>5</v>
      </c>
      <c r="G19" s="35" t="s">
        <v>22</v>
      </c>
      <c r="I19" s="15">
        <f>I18+0.1</f>
        <v>4.9999999999999973</v>
      </c>
      <c r="J19" s="7">
        <f>COUNTIF($B$12:$B$61,I19)</f>
        <v>8</v>
      </c>
      <c r="K19" s="7">
        <f>J19/$J$49</f>
        <v>0.16</v>
      </c>
      <c r="L19" s="16">
        <f>$N$4*K17+$O$4*K18+$P$4*K19+$Q$4*K20+$R$4*K21</f>
        <v>0.13600000000000001</v>
      </c>
      <c r="M19" s="15">
        <f t="shared" si="18"/>
        <v>2.7</v>
      </c>
      <c r="N19" s="7">
        <f t="shared" si="17"/>
        <v>0</v>
      </c>
      <c r="O19" s="7">
        <f>N19/$N$37</f>
        <v>0</v>
      </c>
      <c r="P19" s="16">
        <f t="shared" si="13"/>
        <v>1E-3</v>
      </c>
      <c r="Q19" s="15">
        <f t="shared" si="7"/>
        <v>1.7000000000000006</v>
      </c>
      <c r="R19" s="7">
        <f t="shared" si="2"/>
        <v>4</v>
      </c>
      <c r="S19" s="7">
        <f>R19/$R$72</f>
        <v>0.08</v>
      </c>
      <c r="T19" s="16">
        <f>$N$4*S17+$O$4*S18+$P$4*S19+$Q$4*S20+$R$4*S21</f>
        <v>8.4000000000000019E-2</v>
      </c>
      <c r="U19" s="15">
        <f t="shared" si="8"/>
        <v>0.79999999999999993</v>
      </c>
      <c r="V19" s="7">
        <f t="shared" si="3"/>
        <v>0</v>
      </c>
      <c r="W19" s="7">
        <f>V19/$V$37</f>
        <v>0</v>
      </c>
      <c r="X19" s="16">
        <f t="shared" si="14"/>
        <v>1E-3</v>
      </c>
      <c r="Z19" s="26">
        <f>Z18+0.1</f>
        <v>5</v>
      </c>
      <c r="AA19" s="7">
        <f t="shared" ref="AA19:AA32" si="19">COUNTIF($B$62:$B$111,Z19)</f>
        <v>2</v>
      </c>
      <c r="AB19" s="7">
        <f>AA19/$AA$49</f>
        <v>0.04</v>
      </c>
      <c r="AC19" s="16">
        <f>$N$4*AB17+$O$4*AB18+$P$4*AB19+$Q$4*AB20+$R$4*AB21</f>
        <v>2.9000000000000001E-2</v>
      </c>
      <c r="AD19" s="26">
        <f t="shared" si="10"/>
        <v>2.7000000000000006</v>
      </c>
      <c r="AE19" s="7">
        <f t="shared" si="4"/>
        <v>5</v>
      </c>
      <c r="AF19" s="7">
        <f>AE19/$AA$49</f>
        <v>0.1</v>
      </c>
      <c r="AG19" s="14">
        <f t="shared" si="15"/>
        <v>9.7000000000000003E-2</v>
      </c>
      <c r="AH19" s="15">
        <f t="shared" si="11"/>
        <v>1.7000000000000006</v>
      </c>
      <c r="AI19" s="7">
        <f t="shared" si="5"/>
        <v>0</v>
      </c>
      <c r="AJ19" s="7">
        <f>AI19/$R$72</f>
        <v>0</v>
      </c>
      <c r="AK19" s="16">
        <f>$N$4*AJ17+$O$4*AJ18+$P$4*AJ19+$Q$4*AJ20+$R$4*AJ21</f>
        <v>0</v>
      </c>
      <c r="AL19" s="15">
        <f t="shared" si="12"/>
        <v>0.79999999999999993</v>
      </c>
      <c r="AM19" s="7">
        <f t="shared" si="6"/>
        <v>0</v>
      </c>
      <c r="AN19" s="7">
        <f>AM19/$V$37</f>
        <v>0</v>
      </c>
      <c r="AO19" s="16">
        <f t="shared" si="16"/>
        <v>7.000000000000001E-3</v>
      </c>
    </row>
    <row r="20" spans="1:41" x14ac:dyDescent="0.25">
      <c r="A20" s="1">
        <v>9</v>
      </c>
      <c r="B20" s="5">
        <v>4.4000000000000004</v>
      </c>
      <c r="C20">
        <v>2.9</v>
      </c>
      <c r="D20">
        <v>1.4</v>
      </c>
      <c r="E20">
        <v>0.2</v>
      </c>
      <c r="F20" t="s">
        <v>5</v>
      </c>
      <c r="G20" s="35" t="s">
        <v>22</v>
      </c>
      <c r="I20" s="15">
        <f>I19+0.1</f>
        <v>5.099999999999997</v>
      </c>
      <c r="J20" s="7">
        <f>COUNTIF($B$12:$B$61,I20)</f>
        <v>8</v>
      </c>
      <c r="K20" s="7">
        <f>J20/$J$49</f>
        <v>0.16</v>
      </c>
      <c r="L20" s="16">
        <f>$N$4*K18+$O$4*K19+$P$4*K20+$Q$4*K21+$R$4*K22</f>
        <v>0.129</v>
      </c>
      <c r="M20" s="15">
        <f t="shared" si="18"/>
        <v>2.8000000000000003</v>
      </c>
      <c r="N20" s="7">
        <f t="shared" si="17"/>
        <v>0</v>
      </c>
      <c r="O20" s="7">
        <f>N20/$N$37</f>
        <v>0</v>
      </c>
      <c r="P20" s="16">
        <f t="shared" si="13"/>
        <v>0.01</v>
      </c>
      <c r="Q20" s="15">
        <f t="shared" si="7"/>
        <v>1.8000000000000007</v>
      </c>
      <c r="R20" s="7">
        <f t="shared" si="2"/>
        <v>0</v>
      </c>
      <c r="S20" s="7">
        <f>R20/$R$72</f>
        <v>0</v>
      </c>
      <c r="T20" s="16">
        <f>$N$4*S18+$O$4*S19+$P$4*S20+$Q$4*S21+$R$4*S22</f>
        <v>3.1E-2</v>
      </c>
      <c r="U20" s="15">
        <f t="shared" si="8"/>
        <v>0.89999999999999991</v>
      </c>
      <c r="V20" s="7">
        <f t="shared" si="3"/>
        <v>0</v>
      </c>
      <c r="W20" s="7">
        <f>V20/$V$37</f>
        <v>0</v>
      </c>
      <c r="X20" s="16">
        <f t="shared" si="14"/>
        <v>0</v>
      </c>
      <c r="Z20" s="26">
        <f t="shared" ref="Z20:Z48" si="20">Z19+0.1</f>
        <v>5.0999999999999996</v>
      </c>
      <c r="AA20" s="7">
        <f t="shared" si="19"/>
        <v>1</v>
      </c>
      <c r="AB20" s="7">
        <f>AA20/$AA$49</f>
        <v>0.02</v>
      </c>
      <c r="AC20" s="16">
        <f>$N$4*AB18+$O$4*AB19+$P$4*AB20+$Q$4*AB21+$R$4*AB22</f>
        <v>2.3000000000000003E-2</v>
      </c>
      <c r="AD20" s="26">
        <f t="shared" si="10"/>
        <v>2.8000000000000007</v>
      </c>
      <c r="AE20" s="7">
        <f t="shared" si="4"/>
        <v>6</v>
      </c>
      <c r="AF20" s="7">
        <f>AE20/$AA$49</f>
        <v>0.12</v>
      </c>
      <c r="AG20" s="14">
        <f t="shared" si="15"/>
        <v>0.11900000000000002</v>
      </c>
      <c r="AH20" s="15">
        <f t="shared" si="11"/>
        <v>1.8000000000000007</v>
      </c>
      <c r="AI20" s="7">
        <f t="shared" si="5"/>
        <v>0</v>
      </c>
      <c r="AJ20" s="7">
        <f>AI20/$R$72</f>
        <v>0</v>
      </c>
      <c r="AK20" s="16">
        <f>$N$4*AJ18+$O$4*AJ19+$P$4*AJ20+$Q$4*AJ21+$R$4*AJ22</f>
        <v>0</v>
      </c>
      <c r="AL20" s="15">
        <f t="shared" si="12"/>
        <v>0.89999999999999991</v>
      </c>
      <c r="AM20" s="7">
        <f t="shared" si="6"/>
        <v>0</v>
      </c>
      <c r="AN20" s="7">
        <f>AM20/$V$37</f>
        <v>0</v>
      </c>
      <c r="AO20" s="16">
        <f t="shared" si="16"/>
        <v>3.1000000000000003E-2</v>
      </c>
    </row>
    <row r="21" spans="1:41" x14ac:dyDescent="0.25">
      <c r="A21" s="1">
        <v>10</v>
      </c>
      <c r="B21" s="5">
        <v>4.9000000000000004</v>
      </c>
      <c r="C21">
        <v>3.1</v>
      </c>
      <c r="D21">
        <v>1.5</v>
      </c>
      <c r="E21">
        <v>0.1</v>
      </c>
      <c r="F21" t="s">
        <v>5</v>
      </c>
      <c r="G21" s="35" t="s">
        <v>22</v>
      </c>
      <c r="I21" s="15">
        <f>I20+0.1</f>
        <v>5.1999999999999966</v>
      </c>
      <c r="J21" s="7">
        <f>COUNTIF($B$12:$B$61,I21)</f>
        <v>3</v>
      </c>
      <c r="K21" s="7">
        <f>J21/$J$49</f>
        <v>0.06</v>
      </c>
      <c r="L21" s="16">
        <f>$N$4*K19+$O$4*K20+$P$4*K21+$Q$4*K22+$R$4*K23</f>
        <v>7.9000000000000015E-2</v>
      </c>
      <c r="M21" s="15">
        <f t="shared" si="18"/>
        <v>2.9000000000000004</v>
      </c>
      <c r="N21" s="7">
        <f t="shared" si="17"/>
        <v>1</v>
      </c>
      <c r="O21" s="7">
        <f>N21/$N$37</f>
        <v>0.02</v>
      </c>
      <c r="P21" s="16">
        <f t="shared" si="13"/>
        <v>3.9000000000000007E-2</v>
      </c>
      <c r="Q21" s="15">
        <f>Q20+0.1</f>
        <v>1.9000000000000008</v>
      </c>
      <c r="R21" s="7">
        <f t="shared" si="2"/>
        <v>2</v>
      </c>
      <c r="S21" s="7">
        <f>R21/$R$72</f>
        <v>0.04</v>
      </c>
      <c r="T21" s="16">
        <f>$N$4*S19+$O$4*S20+$P$4*S21+$Q$4*S22+$R$4*S23</f>
        <v>2.4E-2</v>
      </c>
      <c r="U21" s="15">
        <f t="shared" si="8"/>
        <v>0.99999999999999989</v>
      </c>
      <c r="V21" s="7">
        <f t="shared" si="3"/>
        <v>0</v>
      </c>
      <c r="W21" s="7">
        <f>V21/$V$37</f>
        <v>0</v>
      </c>
      <c r="X21" s="16">
        <f t="shared" si="14"/>
        <v>0</v>
      </c>
      <c r="Z21" s="26">
        <f t="shared" si="20"/>
        <v>5.1999999999999993</v>
      </c>
      <c r="AA21" s="7">
        <f>COUNTIF($B$62:$B$111,Z21)</f>
        <v>1</v>
      </c>
      <c r="AB21" s="7">
        <f>AA21/$AA$49</f>
        <v>0.02</v>
      </c>
      <c r="AC21" s="16">
        <f>$N$4*AB19+$O$4*AB20+$P$4*AB21+$Q$4*AB22+$R$4*AB23</f>
        <v>1.7000000000000001E-2</v>
      </c>
      <c r="AD21" s="26">
        <f>AD20+0.1</f>
        <v>2.9000000000000008</v>
      </c>
      <c r="AE21" s="7">
        <f t="shared" si="4"/>
        <v>7</v>
      </c>
      <c r="AF21" s="7">
        <f>AE21/$AA$49</f>
        <v>0.14000000000000001</v>
      </c>
      <c r="AG21" s="14">
        <f t="shared" si="15"/>
        <v>0.13400000000000001</v>
      </c>
      <c r="AH21" s="15">
        <f>AH20+0.1</f>
        <v>1.9000000000000008</v>
      </c>
      <c r="AI21" s="7">
        <f t="shared" si="5"/>
        <v>0</v>
      </c>
      <c r="AJ21" s="7">
        <f>AI21/$R$72</f>
        <v>0</v>
      </c>
      <c r="AK21" s="16">
        <f>$N$4*AJ19+$O$4*AJ20+$P$4*AJ21+$Q$4*AJ22+$R$4*AJ23</f>
        <v>0</v>
      </c>
      <c r="AL21" s="15">
        <f t="shared" si="12"/>
        <v>0.99999999999999989</v>
      </c>
      <c r="AM21" s="7">
        <f t="shared" si="6"/>
        <v>7</v>
      </c>
      <c r="AN21" s="7">
        <f>AM21/$V$37</f>
        <v>0.14000000000000001</v>
      </c>
      <c r="AO21" s="16">
        <f t="shared" si="16"/>
        <v>8.7000000000000008E-2</v>
      </c>
    </row>
    <row r="22" spans="1:41" x14ac:dyDescent="0.25">
      <c r="A22" s="1">
        <v>11</v>
      </c>
      <c r="B22" s="5">
        <v>5.4</v>
      </c>
      <c r="C22">
        <v>3.7</v>
      </c>
      <c r="D22">
        <v>1.5</v>
      </c>
      <c r="E22">
        <v>0.2</v>
      </c>
      <c r="F22" t="s">
        <v>5</v>
      </c>
      <c r="G22" s="35" t="s">
        <v>22</v>
      </c>
      <c r="I22" s="15">
        <f>I21+0.1</f>
        <v>5.2999999999999963</v>
      </c>
      <c r="J22" s="7">
        <f>COUNTIF($B$12:$B$61,I22)</f>
        <v>1</v>
      </c>
      <c r="K22" s="7">
        <f>J22/$J$49</f>
        <v>0.02</v>
      </c>
      <c r="L22" s="16">
        <f>$N$4*K20+$O$4*K21+$P$4*K22+$Q$4*K23+$R$4*K24</f>
        <v>5.2000000000000005E-2</v>
      </c>
      <c r="M22" s="15">
        <f t="shared" si="18"/>
        <v>3.0000000000000004</v>
      </c>
      <c r="N22" s="7">
        <f t="shared" si="17"/>
        <v>6</v>
      </c>
      <c r="O22" s="7">
        <f>N22/$N$37</f>
        <v>0.12</v>
      </c>
      <c r="P22" s="16">
        <f t="shared" si="13"/>
        <v>8.900000000000001E-2</v>
      </c>
      <c r="Q22" s="15">
        <f t="shared" ref="Q22:Q71" si="21">Q21+0.1</f>
        <v>2.0000000000000009</v>
      </c>
      <c r="R22" s="7">
        <f t="shared" si="2"/>
        <v>0</v>
      </c>
      <c r="S22" s="7">
        <f>R22/$R$72</f>
        <v>0</v>
      </c>
      <c r="T22" s="16">
        <f>$N$4*S20+$O$4*S21+$P$4*S22+$Q$4*S23+$R$4*S24</f>
        <v>8.0000000000000002E-3</v>
      </c>
      <c r="U22" s="15">
        <f t="shared" si="8"/>
        <v>1.0999999999999999</v>
      </c>
      <c r="V22" s="7">
        <f t="shared" si="3"/>
        <v>0</v>
      </c>
      <c r="W22" s="7">
        <f>V22/$V$37</f>
        <v>0</v>
      </c>
      <c r="X22" s="16">
        <f t="shared" si="14"/>
        <v>0</v>
      </c>
      <c r="Z22" s="26">
        <f t="shared" si="20"/>
        <v>5.2999999999999989</v>
      </c>
      <c r="AA22" s="7">
        <f>COUNTIF($B$62:$B$111,Z22)</f>
        <v>0</v>
      </c>
      <c r="AB22" s="7">
        <f>AA22/$AA$49</f>
        <v>0</v>
      </c>
      <c r="AC22" s="16">
        <f>$N$4*AB20+$O$4*AB21+$P$4*AB22+$Q$4*AB23+$R$4*AB24</f>
        <v>1.4000000000000002E-2</v>
      </c>
      <c r="AD22" s="26">
        <f t="shared" si="10"/>
        <v>3.0000000000000009</v>
      </c>
      <c r="AE22" s="7">
        <f t="shared" si="4"/>
        <v>8</v>
      </c>
      <c r="AF22" s="7">
        <f>AE22/$AA$49</f>
        <v>0.16</v>
      </c>
      <c r="AG22" s="14">
        <f t="shared" si="15"/>
        <v>0.129</v>
      </c>
      <c r="AH22" s="15">
        <f t="shared" ref="AH22:AH71" si="22">AH21+0.1</f>
        <v>2.0000000000000009</v>
      </c>
      <c r="AI22" s="7">
        <f t="shared" si="5"/>
        <v>0</v>
      </c>
      <c r="AJ22" s="7">
        <f>AI22/$R$72</f>
        <v>0</v>
      </c>
      <c r="AK22" s="16">
        <f>$N$4*AJ20+$O$4*AJ21+$P$4*AJ22+$Q$4*AJ23+$R$4*AJ24</f>
        <v>0</v>
      </c>
      <c r="AL22" s="15">
        <f t="shared" si="12"/>
        <v>1.0999999999999999</v>
      </c>
      <c r="AM22" s="7">
        <f t="shared" si="6"/>
        <v>3</v>
      </c>
      <c r="AN22" s="7">
        <f>AM22/$V$37</f>
        <v>0.06</v>
      </c>
      <c r="AO22" s="16">
        <f t="shared" si="16"/>
        <v>9.1000000000000011E-2</v>
      </c>
    </row>
    <row r="23" spans="1:41" x14ac:dyDescent="0.25">
      <c r="A23" s="1">
        <v>12</v>
      </c>
      <c r="B23" s="5">
        <v>4.8</v>
      </c>
      <c r="C23">
        <v>3.4</v>
      </c>
      <c r="D23">
        <v>1.6</v>
      </c>
      <c r="E23">
        <v>0.2</v>
      </c>
      <c r="F23" t="s">
        <v>5</v>
      </c>
      <c r="G23" s="35" t="s">
        <v>22</v>
      </c>
      <c r="I23" s="15">
        <f>I22+0.1</f>
        <v>5.3999999999999959</v>
      </c>
      <c r="J23" s="7">
        <f>COUNTIF($B$12:$B$61,I23)</f>
        <v>5</v>
      </c>
      <c r="K23" s="7">
        <f>J23/$J$49</f>
        <v>0.1</v>
      </c>
      <c r="L23" s="16">
        <f>$N$4*K21+$O$4*K22+$P$4*K23+$Q$4*K24+$R$4*K25</f>
        <v>6.5000000000000002E-2</v>
      </c>
      <c r="M23" s="15">
        <f t="shared" si="18"/>
        <v>3.1000000000000005</v>
      </c>
      <c r="N23" s="7">
        <f t="shared" si="17"/>
        <v>5</v>
      </c>
      <c r="O23" s="7">
        <f>N23/$N$37</f>
        <v>0.1</v>
      </c>
      <c r="P23" s="16">
        <f t="shared" si="13"/>
        <v>9.7000000000000017E-2</v>
      </c>
      <c r="Q23" s="15">
        <f t="shared" si="21"/>
        <v>2.100000000000001</v>
      </c>
      <c r="R23" s="7">
        <f t="shared" si="2"/>
        <v>0</v>
      </c>
      <c r="S23" s="7">
        <f>R23/$R$72</f>
        <v>0</v>
      </c>
      <c r="T23" s="16">
        <f>$N$4*S21+$O$4*S22+$P$4*S23+$Q$4*S24+$R$4*S25</f>
        <v>2E-3</v>
      </c>
      <c r="U23" s="15">
        <f t="shared" si="8"/>
        <v>1.2</v>
      </c>
      <c r="V23" s="7">
        <f t="shared" si="3"/>
        <v>0</v>
      </c>
      <c r="W23" s="7">
        <f>V23/$V$37</f>
        <v>0</v>
      </c>
      <c r="X23" s="16">
        <f t="shared" si="14"/>
        <v>0</v>
      </c>
      <c r="Z23" s="26">
        <f t="shared" si="20"/>
        <v>5.3999999999999986</v>
      </c>
      <c r="AA23" s="7">
        <f t="shared" si="19"/>
        <v>1</v>
      </c>
      <c r="AB23" s="7">
        <f>AA23/$AA$49</f>
        <v>0.02</v>
      </c>
      <c r="AC23" s="16">
        <f>$N$4*AB21+$O$4*AB22+$P$4*AB23+$Q$4*AB24+$R$4*AB25</f>
        <v>3.6000000000000004E-2</v>
      </c>
      <c r="AD23" s="26">
        <f t="shared" si="10"/>
        <v>3.100000000000001</v>
      </c>
      <c r="AE23" s="7">
        <f t="shared" si="4"/>
        <v>3</v>
      </c>
      <c r="AF23" s="7">
        <f>AE23/$AA$49</f>
        <v>0.06</v>
      </c>
      <c r="AG23" s="14">
        <f t="shared" si="15"/>
        <v>8.2000000000000003E-2</v>
      </c>
      <c r="AH23" s="15">
        <f t="shared" si="22"/>
        <v>2.100000000000001</v>
      </c>
      <c r="AI23" s="7">
        <f t="shared" si="5"/>
        <v>0</v>
      </c>
      <c r="AJ23" s="7">
        <f>AI23/$R$72</f>
        <v>0</v>
      </c>
      <c r="AK23" s="16">
        <f>$N$4*AJ21+$O$4*AJ22+$P$4*AJ23+$Q$4*AJ24+$R$4*AJ25</f>
        <v>0</v>
      </c>
      <c r="AL23" s="15">
        <f t="shared" si="12"/>
        <v>1.2</v>
      </c>
      <c r="AM23" s="7">
        <f t="shared" si="6"/>
        <v>5</v>
      </c>
      <c r="AN23" s="7">
        <f>AM23/$V$37</f>
        <v>0.1</v>
      </c>
      <c r="AO23" s="16">
        <f t="shared" si="16"/>
        <v>0.128</v>
      </c>
    </row>
    <row r="24" spans="1:41" x14ac:dyDescent="0.25">
      <c r="A24" s="1">
        <v>13</v>
      </c>
      <c r="B24" s="5">
        <v>4.8</v>
      </c>
      <c r="C24">
        <v>3</v>
      </c>
      <c r="D24">
        <v>1.4</v>
      </c>
      <c r="E24">
        <v>0.1</v>
      </c>
      <c r="F24" t="s">
        <v>5</v>
      </c>
      <c r="G24" s="35" t="s">
        <v>22</v>
      </c>
      <c r="I24" s="15">
        <f>I23+0.1</f>
        <v>5.4999999999999956</v>
      </c>
      <c r="J24" s="7">
        <f>COUNTIF($B$12:$B$61,I24)</f>
        <v>2</v>
      </c>
      <c r="K24" s="7">
        <f>J24/$J$49</f>
        <v>0.04</v>
      </c>
      <c r="L24" s="16">
        <f>$N$4*K22+$O$4*K23+$P$4*K24+$Q$4*K25+$R$4*K26</f>
        <v>4.300000000000001E-2</v>
      </c>
      <c r="M24" s="15">
        <f t="shared" si="18"/>
        <v>3.2000000000000006</v>
      </c>
      <c r="N24" s="7">
        <f t="shared" si="17"/>
        <v>5</v>
      </c>
      <c r="O24" s="7">
        <f>N24/$N$37</f>
        <v>0.1</v>
      </c>
      <c r="P24" s="16">
        <f t="shared" si="13"/>
        <v>9.3000000000000013E-2</v>
      </c>
      <c r="Q24" s="15">
        <f t="shared" si="21"/>
        <v>2.2000000000000011</v>
      </c>
      <c r="R24" s="7">
        <f t="shared" si="2"/>
        <v>0</v>
      </c>
      <c r="S24" s="7">
        <f>R24/$R$72</f>
        <v>0</v>
      </c>
      <c r="T24" s="16">
        <f>$N$4*S22+$O$4*S23+$P$4*S24+$Q$4*S25+$R$4*S26</f>
        <v>0</v>
      </c>
      <c r="U24" s="15">
        <f t="shared" si="8"/>
        <v>1.3</v>
      </c>
      <c r="V24" s="7">
        <f t="shared" si="3"/>
        <v>0</v>
      </c>
      <c r="W24" s="7">
        <f>V24/$V$37</f>
        <v>0</v>
      </c>
      <c r="X24" s="16">
        <f t="shared" si="14"/>
        <v>0</v>
      </c>
      <c r="Z24" s="26">
        <f t="shared" si="20"/>
        <v>5.4999999999999982</v>
      </c>
      <c r="AA24" s="7">
        <f t="shared" si="19"/>
        <v>5</v>
      </c>
      <c r="AB24" s="7">
        <f>AA24/$AA$49</f>
        <v>0.1</v>
      </c>
      <c r="AC24" s="16">
        <f>$N$4*AB22+$O$4*AB23+$P$4*AB24+$Q$4*AB25+$R$4*AB26</f>
        <v>7.9000000000000015E-2</v>
      </c>
      <c r="AD24" s="26">
        <f t="shared" si="10"/>
        <v>3.2000000000000011</v>
      </c>
      <c r="AE24" s="7">
        <f t="shared" si="4"/>
        <v>3</v>
      </c>
      <c r="AF24" s="7">
        <f>AE24/$AA$49</f>
        <v>0.06</v>
      </c>
      <c r="AG24" s="14">
        <f t="shared" si="15"/>
        <v>5.5000000000000007E-2</v>
      </c>
      <c r="AH24" s="15">
        <f t="shared" si="22"/>
        <v>2.2000000000000011</v>
      </c>
      <c r="AI24" s="7">
        <f t="shared" si="5"/>
        <v>0</v>
      </c>
      <c r="AJ24" s="7">
        <f>AI24/$R$72</f>
        <v>0</v>
      </c>
      <c r="AK24" s="16">
        <f>$N$4*AJ22+$O$4*AJ23+$P$4*AJ24+$Q$4*AJ25+$R$4*AJ26</f>
        <v>0</v>
      </c>
      <c r="AL24" s="15">
        <f t="shared" si="12"/>
        <v>1.3</v>
      </c>
      <c r="AM24" s="7">
        <f t="shared" si="6"/>
        <v>13</v>
      </c>
      <c r="AN24" s="7">
        <f>AM24/$V$37</f>
        <v>0.26</v>
      </c>
      <c r="AO24" s="16">
        <f t="shared" si="16"/>
        <v>0.191</v>
      </c>
    </row>
    <row r="25" spans="1:41" x14ac:dyDescent="0.25">
      <c r="A25" s="1">
        <v>14</v>
      </c>
      <c r="B25" s="5">
        <v>4.3</v>
      </c>
      <c r="C25">
        <v>3</v>
      </c>
      <c r="D25">
        <v>1.1000000000000001</v>
      </c>
      <c r="E25">
        <v>0.1</v>
      </c>
      <c r="F25" t="s">
        <v>5</v>
      </c>
      <c r="G25" s="35" t="s">
        <v>22</v>
      </c>
      <c r="I25" s="15">
        <f>5.6</f>
        <v>5.6</v>
      </c>
      <c r="J25" s="7">
        <f>COUNTIF($B$12:$B$61,I25)</f>
        <v>0</v>
      </c>
      <c r="K25" s="7">
        <f>J25/$J$49</f>
        <v>0</v>
      </c>
      <c r="L25" s="16">
        <f>$N$4*K23+$O$4*K24+$P$4*K25+$Q$4*K26+$R$4*K27</f>
        <v>2.2000000000000002E-2</v>
      </c>
      <c r="M25" s="15">
        <f t="shared" si="18"/>
        <v>3.3000000000000007</v>
      </c>
      <c r="N25" s="7">
        <f t="shared" si="17"/>
        <v>2</v>
      </c>
      <c r="O25" s="7">
        <f>N25/$N$37</f>
        <v>0.04</v>
      </c>
      <c r="P25" s="16">
        <f t="shared" si="13"/>
        <v>8.7000000000000008E-2</v>
      </c>
      <c r="Q25" s="15">
        <f t="shared" si="21"/>
        <v>2.3000000000000012</v>
      </c>
      <c r="R25" s="7">
        <f t="shared" si="2"/>
        <v>0</v>
      </c>
      <c r="S25" s="7">
        <f>R25/$R$72</f>
        <v>0</v>
      </c>
      <c r="T25" s="16">
        <f>$N$4*S23+$O$4*S24+$P$4*S25+$Q$4*S26+$R$4*S27</f>
        <v>0</v>
      </c>
      <c r="U25" s="15">
        <f t="shared" si="8"/>
        <v>1.4000000000000001</v>
      </c>
      <c r="V25" s="7">
        <f t="shared" si="3"/>
        <v>0</v>
      </c>
      <c r="W25" s="7">
        <f>V25/$V$37</f>
        <v>0</v>
      </c>
      <c r="X25" s="16">
        <f t="shared" si="14"/>
        <v>0</v>
      </c>
      <c r="Z25" s="26">
        <f t="shared" si="20"/>
        <v>5.5999999999999979</v>
      </c>
      <c r="AA25" s="7">
        <f>COUNTIF($B$62:$B$111,Z25)</f>
        <v>5</v>
      </c>
      <c r="AB25" s="7">
        <f>AA25/$AA$49</f>
        <v>0.1</v>
      </c>
      <c r="AC25" s="16">
        <f>$N$4*AB23+$O$4*AB24+$P$4*AB25+$Q$4*AB26+$R$4*AB27</f>
        <v>9.4000000000000014E-2</v>
      </c>
      <c r="AD25" s="26">
        <f>AD24+0.1</f>
        <v>3.3000000000000012</v>
      </c>
      <c r="AE25" s="7">
        <f t="shared" si="4"/>
        <v>1</v>
      </c>
      <c r="AF25" s="7">
        <f>AE25/$AA$49</f>
        <v>0.02</v>
      </c>
      <c r="AG25" s="14">
        <f t="shared" si="15"/>
        <v>2.9000000000000001E-2</v>
      </c>
      <c r="AH25" s="15">
        <f t="shared" si="22"/>
        <v>2.3000000000000012</v>
      </c>
      <c r="AI25" s="7">
        <f t="shared" si="5"/>
        <v>0</v>
      </c>
      <c r="AJ25" s="7">
        <f>AI25/$R$72</f>
        <v>0</v>
      </c>
      <c r="AK25" s="16">
        <f>$N$4*AJ23+$O$4*AJ24+$P$4*AJ25+$Q$4*AJ26+$R$4*AJ27</f>
        <v>0</v>
      </c>
      <c r="AL25" s="15">
        <f t="shared" si="12"/>
        <v>1.4000000000000001</v>
      </c>
      <c r="AM25" s="7">
        <f t="shared" si="6"/>
        <v>7</v>
      </c>
      <c r="AN25" s="7">
        <f>AM25/$V$37</f>
        <v>0.14000000000000001</v>
      </c>
      <c r="AO25" s="16">
        <f t="shared" si="16"/>
        <v>0.17</v>
      </c>
    </row>
    <row r="26" spans="1:41" x14ac:dyDescent="0.25">
      <c r="A26" s="1">
        <v>15</v>
      </c>
      <c r="B26" s="5">
        <v>5.8</v>
      </c>
      <c r="C26">
        <v>4</v>
      </c>
      <c r="D26">
        <v>1.2</v>
      </c>
      <c r="E26">
        <v>0.2</v>
      </c>
      <c r="F26" t="s">
        <v>5</v>
      </c>
      <c r="G26" s="35" t="s">
        <v>22</v>
      </c>
      <c r="I26" s="15">
        <f>I25+0.1</f>
        <v>5.6999999999999993</v>
      </c>
      <c r="J26" s="7">
        <f>COUNTIF($B$12:$B$61,I26)</f>
        <v>2</v>
      </c>
      <c r="K26" s="7">
        <f>J26/$J$49</f>
        <v>0.04</v>
      </c>
      <c r="L26" s="16">
        <f>$N$4*K24+$O$4*K25+$P$4*K26+$Q$4*K27+$R$4*K28</f>
        <v>2.5999999999999999E-2</v>
      </c>
      <c r="M26" s="15">
        <f t="shared" si="18"/>
        <v>3.4000000000000008</v>
      </c>
      <c r="N26" s="7">
        <f t="shared" si="17"/>
        <v>9</v>
      </c>
      <c r="O26" s="7">
        <f>N26/$N$37</f>
        <v>0.18</v>
      </c>
      <c r="P26" s="16">
        <f t="shared" si="13"/>
        <v>0.129</v>
      </c>
      <c r="Q26" s="15">
        <f t="shared" si="21"/>
        <v>2.4000000000000012</v>
      </c>
      <c r="R26" s="7">
        <f t="shared" si="2"/>
        <v>0</v>
      </c>
      <c r="S26" s="7">
        <f>R26/$R$72</f>
        <v>0</v>
      </c>
      <c r="T26" s="16">
        <f>$N$4*S24+$O$4*S25+$P$4*S26+$Q$4*S27+$R$4*S28</f>
        <v>0</v>
      </c>
      <c r="U26" s="15">
        <f t="shared" si="8"/>
        <v>1.5000000000000002</v>
      </c>
      <c r="V26" s="7">
        <f t="shared" si="3"/>
        <v>0</v>
      </c>
      <c r="W26" s="7">
        <f>V26/$V$37</f>
        <v>0</v>
      </c>
      <c r="X26" s="16">
        <f t="shared" si="14"/>
        <v>0</v>
      </c>
      <c r="Z26" s="26">
        <f t="shared" si="20"/>
        <v>5.6999999999999975</v>
      </c>
      <c r="AA26" s="7">
        <f t="shared" si="19"/>
        <v>5</v>
      </c>
      <c r="AB26" s="7">
        <f>AA26/$AA$49</f>
        <v>0.1</v>
      </c>
      <c r="AC26" s="16">
        <f>$N$4*AB24+$O$4*AB25+$P$4*AB26+$Q$4*AB27+$R$4*AB28</f>
        <v>8.900000000000001E-2</v>
      </c>
      <c r="AD26" s="26">
        <f t="shared" si="10"/>
        <v>3.4000000000000012</v>
      </c>
      <c r="AE26" s="7">
        <f t="shared" si="4"/>
        <v>1</v>
      </c>
      <c r="AF26" s="7">
        <f>AE26/$AA$49</f>
        <v>0.02</v>
      </c>
      <c r="AG26" s="14">
        <f t="shared" si="15"/>
        <v>1.7000000000000001E-2</v>
      </c>
      <c r="AH26" s="15">
        <f t="shared" si="22"/>
        <v>2.4000000000000012</v>
      </c>
      <c r="AI26" s="7">
        <f t="shared" si="5"/>
        <v>0</v>
      </c>
      <c r="AJ26" s="7">
        <f>AI26/$R$72</f>
        <v>0</v>
      </c>
      <c r="AK26" s="16">
        <f>$N$4*AJ24+$O$4*AJ25+$P$4*AJ26+$Q$4*AJ27+$R$4*AJ28</f>
        <v>0</v>
      </c>
      <c r="AL26" s="15">
        <f t="shared" si="12"/>
        <v>1.5000000000000002</v>
      </c>
      <c r="AM26" s="7">
        <f t="shared" si="6"/>
        <v>10</v>
      </c>
      <c r="AN26" s="7">
        <f>AM26/$V$37</f>
        <v>0.2</v>
      </c>
      <c r="AO26" s="16">
        <f t="shared" si="16"/>
        <v>0.15400000000000003</v>
      </c>
    </row>
    <row r="27" spans="1:41" x14ac:dyDescent="0.25">
      <c r="A27" s="1">
        <v>16</v>
      </c>
      <c r="B27" s="5">
        <v>5.7</v>
      </c>
      <c r="C27">
        <v>4.4000000000000004</v>
      </c>
      <c r="D27">
        <v>1.5</v>
      </c>
      <c r="E27">
        <v>0.4</v>
      </c>
      <c r="F27" t="s">
        <v>5</v>
      </c>
      <c r="G27" s="35" t="s">
        <v>22</v>
      </c>
      <c r="I27" s="15">
        <f>I26+0.1</f>
        <v>5.7999999999999989</v>
      </c>
      <c r="J27" s="7">
        <f>COUNTIF($B$12:$B$61,I27)</f>
        <v>1</v>
      </c>
      <c r="K27" s="7">
        <f>J27/$J$49</f>
        <v>0.02</v>
      </c>
      <c r="L27" s="16">
        <f>$N$4*K25+$O$4*K26+$P$4*K27+$Q$4*K28+$R$4*K29</f>
        <v>1.8000000000000002E-2</v>
      </c>
      <c r="M27" s="15">
        <f t="shared" si="18"/>
        <v>3.5000000000000009</v>
      </c>
      <c r="N27" s="7">
        <f t="shared" si="17"/>
        <v>6</v>
      </c>
      <c r="O27" s="7">
        <f>N27/$N$37</f>
        <v>0.12</v>
      </c>
      <c r="P27" s="16">
        <f t="shared" si="13"/>
        <v>0.10900000000000001</v>
      </c>
      <c r="Q27" s="15">
        <f t="shared" si="21"/>
        <v>2.5000000000000013</v>
      </c>
      <c r="R27" s="7">
        <f t="shared" si="2"/>
        <v>0</v>
      </c>
      <c r="S27" s="7">
        <f>R27/$R$72</f>
        <v>0</v>
      </c>
      <c r="T27" s="16">
        <f>$N$4*S25+$O$4*S26+$P$4*S27+$Q$4*S28+$R$4*S29</f>
        <v>0</v>
      </c>
      <c r="U27" s="15">
        <f t="shared" si="8"/>
        <v>1.6000000000000003</v>
      </c>
      <c r="V27" s="7">
        <f t="shared" si="3"/>
        <v>0</v>
      </c>
      <c r="W27" s="7">
        <f>V27/$V$37</f>
        <v>0</v>
      </c>
      <c r="X27" s="16">
        <f t="shared" si="14"/>
        <v>0</v>
      </c>
      <c r="Z27" s="26">
        <f t="shared" si="20"/>
        <v>5.7999999999999972</v>
      </c>
      <c r="AA27" s="7">
        <f t="shared" si="19"/>
        <v>3</v>
      </c>
      <c r="AB27" s="7">
        <f>AA27/$AA$49</f>
        <v>0.06</v>
      </c>
      <c r="AC27" s="16">
        <f>$N$4*AB25+$O$4*AB26+$P$4*AB27+$Q$4*AB28+$R$4*AB29</f>
        <v>6.7000000000000004E-2</v>
      </c>
      <c r="AD27" s="26">
        <f t="shared" si="10"/>
        <v>3.5000000000000013</v>
      </c>
      <c r="AE27" s="7">
        <f t="shared" si="4"/>
        <v>0</v>
      </c>
      <c r="AF27" s="7">
        <f>AE27/$AA$49</f>
        <v>0</v>
      </c>
      <c r="AG27" s="14">
        <f t="shared" si="15"/>
        <v>5.0000000000000001E-3</v>
      </c>
      <c r="AH27" s="15">
        <f t="shared" si="22"/>
        <v>2.5000000000000013</v>
      </c>
      <c r="AI27" s="7">
        <f t="shared" si="5"/>
        <v>0</v>
      </c>
      <c r="AJ27" s="7">
        <f>AI27/$R$72</f>
        <v>0</v>
      </c>
      <c r="AK27" s="16">
        <f>$N$4*AJ25+$O$4*AJ26+$P$4*AJ27+$Q$4*AJ28+$R$4*AJ29</f>
        <v>0</v>
      </c>
      <c r="AL27" s="15">
        <f t="shared" si="12"/>
        <v>1.6000000000000003</v>
      </c>
      <c r="AM27" s="7">
        <f t="shared" si="6"/>
        <v>3</v>
      </c>
      <c r="AN27" s="7">
        <f>AM27/$V$37</f>
        <v>0.06</v>
      </c>
      <c r="AO27" s="16">
        <f t="shared" si="16"/>
        <v>8.2000000000000017E-2</v>
      </c>
    </row>
    <row r="28" spans="1:41" x14ac:dyDescent="0.25">
      <c r="A28" s="1">
        <v>17</v>
      </c>
      <c r="B28" s="5">
        <v>5.4</v>
      </c>
      <c r="C28">
        <v>3.9</v>
      </c>
      <c r="D28">
        <v>1.3</v>
      </c>
      <c r="E28">
        <v>0.4</v>
      </c>
      <c r="F28" t="s">
        <v>5</v>
      </c>
      <c r="G28" s="35" t="s">
        <v>22</v>
      </c>
      <c r="I28" s="15">
        <f>I27+0.1</f>
        <v>5.8999999999999986</v>
      </c>
      <c r="J28" s="7">
        <f>COUNTIF($B$12:$B$61,I28)</f>
        <v>0</v>
      </c>
      <c r="K28" s="7">
        <f>J28/$J$49</f>
        <v>0</v>
      </c>
      <c r="L28" s="16">
        <f>$N$4*K26+$O$4*K27+$P$4*K28+$Q$4*K29+$R$4*K30</f>
        <v>6.0000000000000001E-3</v>
      </c>
      <c r="M28" s="15">
        <f t="shared" si="18"/>
        <v>3.600000000000001</v>
      </c>
      <c r="N28" s="7">
        <f t="shared" si="17"/>
        <v>2</v>
      </c>
      <c r="O28" s="7">
        <f>N28/$N$37</f>
        <v>0.04</v>
      </c>
      <c r="P28" s="16">
        <f t="shared" si="13"/>
        <v>6.9000000000000006E-2</v>
      </c>
      <c r="Q28" s="15">
        <f t="shared" si="21"/>
        <v>2.6000000000000014</v>
      </c>
      <c r="R28" s="7">
        <f t="shared" si="2"/>
        <v>0</v>
      </c>
      <c r="S28" s="7">
        <f>R28/$R$72</f>
        <v>0</v>
      </c>
      <c r="T28" s="16">
        <f>$N$4*S26+$O$4*S27+$P$4*S28+$Q$4*S29+$R$4*S30</f>
        <v>0</v>
      </c>
      <c r="U28" s="15">
        <f t="shared" si="8"/>
        <v>1.7000000000000004</v>
      </c>
      <c r="V28" s="7">
        <f t="shared" si="3"/>
        <v>0</v>
      </c>
      <c r="W28" s="7">
        <f>V28/$V$37</f>
        <v>0</v>
      </c>
      <c r="X28" s="16">
        <f t="shared" si="14"/>
        <v>0</v>
      </c>
      <c r="Z28" s="26">
        <f t="shared" si="20"/>
        <v>5.8999999999999968</v>
      </c>
      <c r="AA28" s="7">
        <f t="shared" si="19"/>
        <v>2</v>
      </c>
      <c r="AB28" s="7">
        <f>AA28/$AA$49</f>
        <v>0.04</v>
      </c>
      <c r="AC28" s="16">
        <f>$N$4*AB26+$O$4*AB27+$P$4*AB28+$Q$4*AB29+$R$4*AB30</f>
        <v>5.7000000000000009E-2</v>
      </c>
      <c r="AD28" s="26">
        <f t="shared" si="10"/>
        <v>3.6000000000000014</v>
      </c>
      <c r="AE28" s="7">
        <f t="shared" si="4"/>
        <v>0</v>
      </c>
      <c r="AF28" s="7">
        <f>AE28/$AA$49</f>
        <v>0</v>
      </c>
      <c r="AG28" s="14">
        <f t="shared" si="15"/>
        <v>1E-3</v>
      </c>
      <c r="AH28" s="15">
        <f t="shared" si="22"/>
        <v>2.6000000000000014</v>
      </c>
      <c r="AI28" s="7">
        <f t="shared" si="5"/>
        <v>0</v>
      </c>
      <c r="AJ28" s="7">
        <f>AI28/$R$72</f>
        <v>0</v>
      </c>
      <c r="AK28" s="16">
        <f>$N$4*AJ26+$O$4*AJ27+$P$4*AJ28+$Q$4*AJ29+$R$4*AJ30</f>
        <v>0</v>
      </c>
      <c r="AL28" s="15">
        <f t="shared" si="12"/>
        <v>1.7000000000000004</v>
      </c>
      <c r="AM28" s="7">
        <f t="shared" si="6"/>
        <v>1</v>
      </c>
      <c r="AN28" s="7">
        <f>AM28/$V$37</f>
        <v>0.02</v>
      </c>
      <c r="AO28" s="16">
        <f t="shared" si="16"/>
        <v>3.6000000000000004E-2</v>
      </c>
    </row>
    <row r="29" spans="1:41" x14ac:dyDescent="0.25">
      <c r="A29" s="1">
        <v>18</v>
      </c>
      <c r="B29" s="5">
        <v>5.0999999999999996</v>
      </c>
      <c r="C29">
        <v>3.5</v>
      </c>
      <c r="D29">
        <v>1.4</v>
      </c>
      <c r="E29">
        <v>0.3</v>
      </c>
      <c r="F29" t="s">
        <v>5</v>
      </c>
      <c r="G29" s="35" t="s">
        <v>22</v>
      </c>
      <c r="I29" s="15">
        <f>I28+0.1</f>
        <v>5.9999999999999982</v>
      </c>
      <c r="J29" s="7">
        <f>COUNTIF($B$12:$B$61,I29)</f>
        <v>0</v>
      </c>
      <c r="K29" s="7">
        <f>J29/$J$49</f>
        <v>0</v>
      </c>
      <c r="L29" s="16">
        <f>$N$4*K27+$O$4*K28+$P$4*K29+$Q$4*K30+$R$4*K31</f>
        <v>1E-3</v>
      </c>
      <c r="M29" s="15">
        <f t="shared" si="18"/>
        <v>3.7000000000000011</v>
      </c>
      <c r="N29" s="7">
        <f t="shared" si="17"/>
        <v>3</v>
      </c>
      <c r="O29" s="7">
        <f>N29/$N$37</f>
        <v>0.06</v>
      </c>
      <c r="P29" s="16">
        <f t="shared" si="13"/>
        <v>6.2E-2</v>
      </c>
      <c r="Q29" s="15">
        <f t="shared" si="21"/>
        <v>2.7000000000000015</v>
      </c>
      <c r="R29" s="7">
        <f t="shared" si="2"/>
        <v>0</v>
      </c>
      <c r="S29" s="7">
        <f>R29/$R$72</f>
        <v>0</v>
      </c>
      <c r="T29" s="16">
        <f>$N$4*S27+$O$4*S28+$P$4*S29+$Q$4*S30+$R$4*S31</f>
        <v>0</v>
      </c>
      <c r="U29" s="15">
        <f t="shared" si="8"/>
        <v>1.8000000000000005</v>
      </c>
      <c r="V29" s="7">
        <f t="shared" si="3"/>
        <v>0</v>
      </c>
      <c r="W29" s="7">
        <f>V29/$V$37</f>
        <v>0</v>
      </c>
      <c r="X29" s="16">
        <f t="shared" si="14"/>
        <v>0</v>
      </c>
      <c r="Z29" s="26">
        <f t="shared" si="20"/>
        <v>5.9999999999999964</v>
      </c>
      <c r="AA29" s="7">
        <f t="shared" si="19"/>
        <v>4</v>
      </c>
      <c r="AB29" s="7">
        <f>AA29/$AA$49</f>
        <v>0.08</v>
      </c>
      <c r="AC29" s="16">
        <f>$N$4*AB27+$O$4*AB28+$P$4*AB29+$Q$4*AB30+$R$4*AB31</f>
        <v>6.9000000000000006E-2</v>
      </c>
      <c r="AD29" s="26">
        <f t="shared" si="10"/>
        <v>3.7000000000000015</v>
      </c>
      <c r="AE29" s="7">
        <f t="shared" si="4"/>
        <v>0</v>
      </c>
      <c r="AF29" s="7">
        <f>AE29/$AA$49</f>
        <v>0</v>
      </c>
      <c r="AG29" s="14">
        <f t="shared" si="15"/>
        <v>0</v>
      </c>
      <c r="AH29" s="15">
        <f t="shared" si="22"/>
        <v>2.7000000000000015</v>
      </c>
      <c r="AI29" s="7">
        <f t="shared" si="5"/>
        <v>0</v>
      </c>
      <c r="AJ29" s="7">
        <f>AI29/$R$72</f>
        <v>0</v>
      </c>
      <c r="AK29" s="16">
        <f>$N$4*AJ27+$O$4*AJ28+$P$4*AJ29+$Q$4*AJ30+$R$4*AJ31</f>
        <v>0</v>
      </c>
      <c r="AL29" s="15">
        <f t="shared" si="12"/>
        <v>1.8000000000000005</v>
      </c>
      <c r="AM29" s="7">
        <f t="shared" si="6"/>
        <v>1</v>
      </c>
      <c r="AN29" s="7">
        <f>AM29/$V$37</f>
        <v>0.02</v>
      </c>
      <c r="AO29" s="16">
        <f t="shared" si="16"/>
        <v>1.7000000000000001E-2</v>
      </c>
    </row>
    <row r="30" spans="1:41" x14ac:dyDescent="0.25">
      <c r="A30" s="1">
        <v>19</v>
      </c>
      <c r="B30" s="5">
        <v>5.7</v>
      </c>
      <c r="C30">
        <v>3.8</v>
      </c>
      <c r="D30">
        <v>1.7</v>
      </c>
      <c r="E30">
        <v>0.3</v>
      </c>
      <c r="F30" t="s">
        <v>5</v>
      </c>
      <c r="G30" s="35" t="s">
        <v>22</v>
      </c>
      <c r="I30" s="15">
        <f>I29+0.1</f>
        <v>6.0999999999999979</v>
      </c>
      <c r="J30" s="7">
        <f>COUNTIF($B$12:$B$61,I30)</f>
        <v>0</v>
      </c>
      <c r="K30" s="7">
        <f>J30/$J$49</f>
        <v>0</v>
      </c>
      <c r="L30" s="16">
        <f>$N$4*K28+$O$4*K29+$P$4*K30+$Q$4*K31+$R$4*K32</f>
        <v>0</v>
      </c>
      <c r="M30" s="15">
        <f t="shared" si="18"/>
        <v>3.8000000000000012</v>
      </c>
      <c r="N30" s="7">
        <f t="shared" si="17"/>
        <v>4</v>
      </c>
      <c r="O30" s="7">
        <f>N30/$N$37</f>
        <v>0.08</v>
      </c>
      <c r="P30" s="16">
        <f t="shared" si="13"/>
        <v>6.3E-2</v>
      </c>
      <c r="Q30" s="15">
        <f t="shared" si="21"/>
        <v>2.8000000000000016</v>
      </c>
      <c r="R30" s="7">
        <f t="shared" si="2"/>
        <v>0</v>
      </c>
      <c r="S30" s="7">
        <f>R30/$R$72</f>
        <v>0</v>
      </c>
      <c r="T30" s="16">
        <f>$N$4*S28+$O$4*S29+$P$4*S30+$Q$4*S31+$R$4*S32</f>
        <v>0</v>
      </c>
      <c r="U30" s="15">
        <f t="shared" si="8"/>
        <v>1.9000000000000006</v>
      </c>
      <c r="V30" s="7">
        <f t="shared" si="3"/>
        <v>0</v>
      </c>
      <c r="W30" s="7">
        <f>V30/$V$37</f>
        <v>0</v>
      </c>
      <c r="X30" s="16">
        <f t="shared" si="14"/>
        <v>0</v>
      </c>
      <c r="Z30" s="26">
        <f t="shared" si="20"/>
        <v>6.0999999999999961</v>
      </c>
      <c r="AA30" s="7">
        <f t="shared" si="19"/>
        <v>4</v>
      </c>
      <c r="AB30" s="7">
        <f>AA30/$AA$49</f>
        <v>0.08</v>
      </c>
      <c r="AC30" s="16">
        <f>$N$4*AB28+$O$4*AB29+$P$4*AB30+$Q$4*AB31+$R$4*AB32</f>
        <v>6.9000000000000006E-2</v>
      </c>
      <c r="AD30" s="26">
        <f t="shared" si="10"/>
        <v>3.8000000000000016</v>
      </c>
      <c r="AE30" s="7">
        <f t="shared" si="4"/>
        <v>0</v>
      </c>
      <c r="AF30" s="7">
        <f>AE30/$AA$49</f>
        <v>0</v>
      </c>
      <c r="AG30" s="14">
        <f t="shared" si="15"/>
        <v>0</v>
      </c>
      <c r="AH30" s="15">
        <f t="shared" si="22"/>
        <v>2.8000000000000016</v>
      </c>
      <c r="AI30" s="7">
        <f t="shared" si="5"/>
        <v>0</v>
      </c>
      <c r="AJ30" s="7">
        <f>AI30/$R$72</f>
        <v>0</v>
      </c>
      <c r="AK30" s="16">
        <f>$N$4*AJ28+$O$4*AJ29+$P$4*AJ30+$Q$4*AJ31+$R$4*AJ32</f>
        <v>1E-3</v>
      </c>
      <c r="AL30" s="15">
        <f t="shared" si="12"/>
        <v>1.9000000000000006</v>
      </c>
      <c r="AM30" s="7">
        <f t="shared" si="6"/>
        <v>0</v>
      </c>
      <c r="AN30" s="7">
        <f>AM30/$V$37</f>
        <v>0</v>
      </c>
      <c r="AO30" s="16">
        <f t="shared" si="16"/>
        <v>5.0000000000000001E-3</v>
      </c>
    </row>
    <row r="31" spans="1:41" x14ac:dyDescent="0.25">
      <c r="A31" s="1">
        <v>20</v>
      </c>
      <c r="B31" s="5">
        <v>5.0999999999999996</v>
      </c>
      <c r="C31">
        <v>3.8</v>
      </c>
      <c r="D31">
        <v>1.5</v>
      </c>
      <c r="E31">
        <v>0.3</v>
      </c>
      <c r="F31" t="s">
        <v>5</v>
      </c>
      <c r="G31" s="35" t="s">
        <v>22</v>
      </c>
      <c r="I31" s="15">
        <f>I30+0.1</f>
        <v>6.1999999999999975</v>
      </c>
      <c r="J31" s="7">
        <f>COUNTIF($B$12:$B$61,I31)</f>
        <v>0</v>
      </c>
      <c r="K31" s="7">
        <f>J31/$J$49</f>
        <v>0</v>
      </c>
      <c r="L31" s="16">
        <f>$N$4*K29+$O$4*K30+$P$4*K31+$Q$4*K32+$R$4*K33</f>
        <v>0</v>
      </c>
      <c r="M31" s="15">
        <f t="shared" si="18"/>
        <v>3.9000000000000012</v>
      </c>
      <c r="N31" s="7">
        <f t="shared" si="17"/>
        <v>2</v>
      </c>
      <c r="O31" s="7">
        <f>N31/$N$37</f>
        <v>0.04</v>
      </c>
      <c r="P31" s="16">
        <f t="shared" si="13"/>
        <v>4.3999999999999997E-2</v>
      </c>
      <c r="Q31" s="15">
        <f t="shared" si="21"/>
        <v>2.9000000000000017</v>
      </c>
      <c r="R31" s="7">
        <f t="shared" si="2"/>
        <v>0</v>
      </c>
      <c r="S31" s="7">
        <f>R31/$R$72</f>
        <v>0</v>
      </c>
      <c r="T31" s="16">
        <f>$N$4*S29+$O$4*S30+$P$4*S31+$Q$4*S32+$R$4*S33</f>
        <v>0</v>
      </c>
      <c r="U31" s="15">
        <f t="shared" si="8"/>
        <v>2.0000000000000004</v>
      </c>
      <c r="V31" s="7">
        <f t="shared" si="3"/>
        <v>0</v>
      </c>
      <c r="W31" s="7">
        <f>V31/$V$37</f>
        <v>0</v>
      </c>
      <c r="X31" s="16">
        <f t="shared" si="14"/>
        <v>0</v>
      </c>
      <c r="Z31" s="26">
        <f t="shared" si="20"/>
        <v>6.1999999999999957</v>
      </c>
      <c r="AA31" s="7">
        <f t="shared" si="19"/>
        <v>2</v>
      </c>
      <c r="AB31" s="7">
        <f>AA31/$AA$49</f>
        <v>0.04</v>
      </c>
      <c r="AC31" s="16">
        <f>$N$4*AB29+$O$4*AB30+$P$4*AB31+$Q$4*AB32+$R$4*AB33</f>
        <v>5.4000000000000006E-2</v>
      </c>
      <c r="AD31" s="26">
        <f t="shared" si="10"/>
        <v>3.9000000000000017</v>
      </c>
      <c r="AE31" s="7">
        <f t="shared" si="4"/>
        <v>0</v>
      </c>
      <c r="AF31" s="7">
        <f>AE31/$AA$49</f>
        <v>0</v>
      </c>
      <c r="AG31" s="14">
        <f t="shared" si="15"/>
        <v>0</v>
      </c>
      <c r="AH31" s="15">
        <f t="shared" si="22"/>
        <v>2.9000000000000017</v>
      </c>
      <c r="AI31" s="7">
        <f t="shared" si="5"/>
        <v>0</v>
      </c>
      <c r="AJ31" s="7">
        <f>AI31/$R$72</f>
        <v>0</v>
      </c>
      <c r="AK31" s="16">
        <f>$N$4*AJ29+$O$4*AJ30+$P$4*AJ31+$Q$4*AJ32+$R$4*AJ33</f>
        <v>4.0000000000000001E-3</v>
      </c>
      <c r="AL31" s="15">
        <f t="shared" si="12"/>
        <v>2.0000000000000004</v>
      </c>
      <c r="AM31" s="7">
        <f t="shared" si="6"/>
        <v>0</v>
      </c>
      <c r="AN31" s="7">
        <f>AM31/$V$37</f>
        <v>0</v>
      </c>
      <c r="AO31" s="16">
        <f t="shared" si="16"/>
        <v>1E-3</v>
      </c>
    </row>
    <row r="32" spans="1:41" x14ac:dyDescent="0.25">
      <c r="A32" s="1">
        <v>21</v>
      </c>
      <c r="B32" s="5">
        <v>5.4</v>
      </c>
      <c r="C32">
        <v>3.4</v>
      </c>
      <c r="D32">
        <v>1.7</v>
      </c>
      <c r="E32">
        <v>0.2</v>
      </c>
      <c r="F32" t="s">
        <v>5</v>
      </c>
      <c r="G32" s="35" t="s">
        <v>22</v>
      </c>
      <c r="I32" s="15">
        <f>I31+0.1</f>
        <v>6.2999999999999972</v>
      </c>
      <c r="J32" s="7">
        <f>COUNTIF($B$12:$B$61,I32)</f>
        <v>0</v>
      </c>
      <c r="K32" s="7">
        <f>J32/$J$49</f>
        <v>0</v>
      </c>
      <c r="L32" s="16">
        <f>$N$4*K30+$O$4*K31+$P$4*K32+$Q$4*K33+$R$4*K34</f>
        <v>0</v>
      </c>
      <c r="M32" s="15">
        <f t="shared" si="18"/>
        <v>4.0000000000000009</v>
      </c>
      <c r="N32" s="7">
        <f t="shared" si="17"/>
        <v>1</v>
      </c>
      <c r="O32" s="7">
        <f>N32/$N$37</f>
        <v>0.02</v>
      </c>
      <c r="P32" s="16">
        <f t="shared" si="13"/>
        <v>2.7E-2</v>
      </c>
      <c r="Q32" s="15">
        <f t="shared" si="21"/>
        <v>3.0000000000000018</v>
      </c>
      <c r="R32" s="7">
        <f t="shared" si="2"/>
        <v>0</v>
      </c>
      <c r="S32" s="7">
        <f>R32/$R$72</f>
        <v>0</v>
      </c>
      <c r="T32" s="16">
        <f>$N$4*S30+$O$4*S31+$P$4*S32+$Q$4*S33+$R$4*S34</f>
        <v>0</v>
      </c>
      <c r="U32" s="15">
        <f t="shared" si="8"/>
        <v>2.1000000000000005</v>
      </c>
      <c r="V32" s="7">
        <f t="shared" si="3"/>
        <v>0</v>
      </c>
      <c r="W32" s="7">
        <f>V32/$V$37</f>
        <v>0</v>
      </c>
      <c r="X32" s="16">
        <f t="shared" si="14"/>
        <v>0</v>
      </c>
      <c r="Z32" s="26">
        <f t="shared" si="20"/>
        <v>6.2999999999999954</v>
      </c>
      <c r="AA32" s="7">
        <f t="shared" si="19"/>
        <v>3</v>
      </c>
      <c r="AB32" s="7">
        <f>AA32/$AA$49</f>
        <v>0.06</v>
      </c>
      <c r="AC32" s="16">
        <f>$N$4*AB30+$O$4*AB31+$P$4*AB32+$Q$4*AB33+$R$4*AB34</f>
        <v>5.0999999999999997E-2</v>
      </c>
      <c r="AD32" s="26">
        <f t="shared" si="10"/>
        <v>4.0000000000000018</v>
      </c>
      <c r="AE32" s="7">
        <f t="shared" si="4"/>
        <v>0</v>
      </c>
      <c r="AF32" s="7">
        <f>AE32/$AA$49</f>
        <v>0</v>
      </c>
      <c r="AG32" s="14">
        <f t="shared" si="15"/>
        <v>0</v>
      </c>
      <c r="AH32" s="15">
        <f t="shared" si="22"/>
        <v>3.0000000000000018</v>
      </c>
      <c r="AI32" s="7">
        <f t="shared" si="5"/>
        <v>1</v>
      </c>
      <c r="AJ32" s="7">
        <f>AI32/$R$72</f>
        <v>0.02</v>
      </c>
      <c r="AK32" s="16">
        <f>$N$4*AJ30+$O$4*AJ31+$P$4*AJ32+$Q$4*AJ33+$R$4*AJ34</f>
        <v>0.01</v>
      </c>
      <c r="AL32" s="15">
        <f t="shared" si="12"/>
        <v>2.1000000000000005</v>
      </c>
      <c r="AM32" s="7">
        <f t="shared" si="6"/>
        <v>0</v>
      </c>
      <c r="AN32" s="7">
        <f>AM32/$V$37</f>
        <v>0</v>
      </c>
      <c r="AO32" s="16">
        <f t="shared" si="16"/>
        <v>0</v>
      </c>
    </row>
    <row r="33" spans="1:41" x14ac:dyDescent="0.25">
      <c r="A33" s="1">
        <v>22</v>
      </c>
      <c r="B33" s="5">
        <v>5.0999999999999996</v>
      </c>
      <c r="C33">
        <v>3.7</v>
      </c>
      <c r="D33">
        <v>1.5</v>
      </c>
      <c r="E33">
        <v>0.4</v>
      </c>
      <c r="F33" t="s">
        <v>5</v>
      </c>
      <c r="G33" s="35" t="s">
        <v>22</v>
      </c>
      <c r="I33" s="15">
        <f>I32+0.1</f>
        <v>6.3999999999999968</v>
      </c>
      <c r="J33" s="7">
        <f>COUNTIF($B$12:$B$61,I33)</f>
        <v>0</v>
      </c>
      <c r="K33" s="7">
        <f>J33/$J$49</f>
        <v>0</v>
      </c>
      <c r="L33" s="16">
        <f>$N$4*K31+$O$4*K32+$P$4*K33+$Q$4*K34+$R$4*K35</f>
        <v>0</v>
      </c>
      <c r="M33" s="15">
        <f t="shared" si="18"/>
        <v>4.1000000000000005</v>
      </c>
      <c r="N33" s="7">
        <f t="shared" si="17"/>
        <v>1</v>
      </c>
      <c r="O33" s="7">
        <f>N33/$N$37</f>
        <v>0.02</v>
      </c>
      <c r="P33" s="16">
        <f t="shared" si="13"/>
        <v>0.02</v>
      </c>
      <c r="Q33" s="15">
        <f t="shared" si="21"/>
        <v>3.1000000000000019</v>
      </c>
      <c r="R33" s="7">
        <f t="shared" si="2"/>
        <v>0</v>
      </c>
      <c r="S33" s="7">
        <f>R33/$R$72</f>
        <v>0</v>
      </c>
      <c r="T33" s="16">
        <f>$N$4*S31+$O$4*S32+$P$4*S33+$Q$4*S34+$R$4*S35</f>
        <v>0</v>
      </c>
      <c r="U33" s="15">
        <f t="shared" si="8"/>
        <v>2.2000000000000006</v>
      </c>
      <c r="V33" s="7">
        <f t="shared" si="3"/>
        <v>0</v>
      </c>
      <c r="W33" s="7">
        <f>V33/$V$37</f>
        <v>0</v>
      </c>
      <c r="X33" s="16">
        <f t="shared" si="14"/>
        <v>0</v>
      </c>
      <c r="Z33" s="26">
        <f t="shared" si="20"/>
        <v>6.399999999999995</v>
      </c>
      <c r="AA33" s="7">
        <f>COUNTIF($B$62:$B$111,Z33)</f>
        <v>2</v>
      </c>
      <c r="AB33" s="7">
        <f>AA33/$AA$49</f>
        <v>0.04</v>
      </c>
      <c r="AC33" s="16">
        <f>$N$4*AB31+$O$4*AB32+$P$4*AB33+$Q$4*AB34+$R$4*AB35</f>
        <v>4.0000000000000008E-2</v>
      </c>
      <c r="AD33" s="26">
        <f t="shared" si="10"/>
        <v>4.1000000000000014</v>
      </c>
      <c r="AE33" s="7">
        <f t="shared" si="4"/>
        <v>0</v>
      </c>
      <c r="AF33" s="7">
        <f>AE33/$AA$49</f>
        <v>0</v>
      </c>
      <c r="AG33" s="14">
        <f t="shared" si="15"/>
        <v>0</v>
      </c>
      <c r="AH33" s="15">
        <f t="shared" si="22"/>
        <v>3.1000000000000019</v>
      </c>
      <c r="AI33" s="7">
        <f t="shared" si="5"/>
        <v>0</v>
      </c>
      <c r="AJ33" s="7">
        <f>AI33/$R$72</f>
        <v>0</v>
      </c>
      <c r="AK33" s="16">
        <f>$N$4*AJ31+$O$4*AJ32+$P$4*AJ33+$Q$4*AJ34+$R$4*AJ35</f>
        <v>6.0000000000000001E-3</v>
      </c>
      <c r="AL33" s="15">
        <f t="shared" si="12"/>
        <v>2.2000000000000006</v>
      </c>
      <c r="AM33" s="7">
        <f t="shared" si="6"/>
        <v>0</v>
      </c>
      <c r="AN33" s="7">
        <f>AM33/$V$37</f>
        <v>0</v>
      </c>
      <c r="AO33" s="16">
        <f t="shared" si="16"/>
        <v>0</v>
      </c>
    </row>
    <row r="34" spans="1:41" x14ac:dyDescent="0.25">
      <c r="A34" s="1">
        <v>23</v>
      </c>
      <c r="B34" s="5">
        <v>4.5999999999999996</v>
      </c>
      <c r="C34">
        <v>3.6</v>
      </c>
      <c r="D34">
        <v>1</v>
      </c>
      <c r="E34">
        <v>0.2</v>
      </c>
      <c r="F34" t="s">
        <v>5</v>
      </c>
      <c r="G34" s="35" t="s">
        <v>22</v>
      </c>
      <c r="I34" s="15">
        <f>I33+0.1</f>
        <v>6.4999999999999964</v>
      </c>
      <c r="J34" s="7">
        <f>COUNTIF($B$12:$B$61,I34)</f>
        <v>0</v>
      </c>
      <c r="K34" s="7">
        <f>J34/$J$49</f>
        <v>0</v>
      </c>
      <c r="L34" s="16">
        <f>$N$4*K32+$O$4*K33+$P$4*K34+$Q$4*K35+$R$4*K36</f>
        <v>0</v>
      </c>
      <c r="M34" s="15">
        <f t="shared" si="18"/>
        <v>4.2</v>
      </c>
      <c r="N34" s="7">
        <f t="shared" si="17"/>
        <v>1</v>
      </c>
      <c r="O34" s="7">
        <f>N34/$N$37</f>
        <v>0.02</v>
      </c>
      <c r="P34" s="16">
        <f t="shared" si="13"/>
        <v>1.6E-2</v>
      </c>
      <c r="Q34" s="15">
        <f t="shared" si="21"/>
        <v>3.200000000000002</v>
      </c>
      <c r="R34" s="7">
        <f t="shared" si="2"/>
        <v>0</v>
      </c>
      <c r="S34" s="7">
        <f>R34/$R$72</f>
        <v>0</v>
      </c>
      <c r="T34" s="16">
        <f>$N$4*S32+$O$4*S33+$P$4*S34+$Q$4*S35+$R$4*S36</f>
        <v>0</v>
      </c>
      <c r="U34" s="15">
        <f t="shared" si="8"/>
        <v>2.3000000000000007</v>
      </c>
      <c r="V34" s="7">
        <f t="shared" si="3"/>
        <v>0</v>
      </c>
      <c r="W34" s="7">
        <f>V34/$V$37</f>
        <v>0</v>
      </c>
      <c r="X34" s="16">
        <f t="shared" si="14"/>
        <v>0</v>
      </c>
      <c r="Z34" s="26">
        <f>6.5</f>
        <v>6.5</v>
      </c>
      <c r="AA34" s="7">
        <f>COUNTIF($B$62:$B$111,Z34)</f>
        <v>1</v>
      </c>
      <c r="AB34" s="7">
        <f>AA34/$AA$49</f>
        <v>0.02</v>
      </c>
      <c r="AC34" s="16">
        <f>$N$4*AB32+$O$4*AB33+$P$4*AB34+$Q$4*AB35+$R$4*AB36</f>
        <v>3.2000000000000001E-2</v>
      </c>
      <c r="AD34" s="26">
        <f t="shared" si="10"/>
        <v>4.2000000000000011</v>
      </c>
      <c r="AE34" s="7">
        <f t="shared" si="4"/>
        <v>0</v>
      </c>
      <c r="AF34" s="7">
        <f>AE34/$AA$49</f>
        <v>0</v>
      </c>
      <c r="AG34" s="14">
        <f t="shared" si="15"/>
        <v>0</v>
      </c>
      <c r="AH34" s="15">
        <f t="shared" si="22"/>
        <v>3.200000000000002</v>
      </c>
      <c r="AI34" s="7">
        <f t="shared" si="5"/>
        <v>0</v>
      </c>
      <c r="AJ34" s="7">
        <f>AI34/$R$72</f>
        <v>0</v>
      </c>
      <c r="AK34" s="16">
        <f>$N$4*AJ32+$O$4*AJ33+$P$4*AJ34+$Q$4*AJ35+$R$4*AJ36</f>
        <v>9.0000000000000011E-3</v>
      </c>
      <c r="AL34" s="15">
        <f t="shared" si="12"/>
        <v>2.3000000000000007</v>
      </c>
      <c r="AM34" s="7">
        <f t="shared" si="6"/>
        <v>0</v>
      </c>
      <c r="AN34" s="7">
        <f>AM34/$V$37</f>
        <v>0</v>
      </c>
      <c r="AO34" s="16">
        <f t="shared" si="16"/>
        <v>0</v>
      </c>
    </row>
    <row r="35" spans="1:41" x14ac:dyDescent="0.25">
      <c r="A35" s="1">
        <v>24</v>
      </c>
      <c r="B35" s="5">
        <v>5.0999999999999996</v>
      </c>
      <c r="C35">
        <v>3.3</v>
      </c>
      <c r="D35">
        <v>1.7</v>
      </c>
      <c r="E35">
        <v>0.5</v>
      </c>
      <c r="F35" t="s">
        <v>5</v>
      </c>
      <c r="G35" s="35" t="s">
        <v>22</v>
      </c>
      <c r="I35" s="15">
        <f>I34+0.1</f>
        <v>6.5999999999999961</v>
      </c>
      <c r="J35" s="7">
        <f>COUNTIF($B$12:$B$61,I35)</f>
        <v>0</v>
      </c>
      <c r="K35" s="7">
        <f>J35/$J$49</f>
        <v>0</v>
      </c>
      <c r="L35" s="16">
        <f>$N$4*K33+$O$4*K34+$P$4*K35+$Q$4*K36+$R$4*K37</f>
        <v>0</v>
      </c>
      <c r="M35" s="15">
        <f t="shared" si="18"/>
        <v>4.3</v>
      </c>
      <c r="N35" s="7">
        <f t="shared" si="17"/>
        <v>0</v>
      </c>
      <c r="O35" s="7">
        <f>N35/$N$37</f>
        <v>0</v>
      </c>
      <c r="P35" s="16">
        <f>$N$4*O33+$O$4*O34+$P$4*O35+$Q$4*O36</f>
        <v>9.0000000000000011E-3</v>
      </c>
      <c r="Q35" s="15">
        <f t="shared" si="21"/>
        <v>3.300000000000002</v>
      </c>
      <c r="R35" s="7">
        <f t="shared" si="2"/>
        <v>0</v>
      </c>
      <c r="S35" s="7">
        <f>R35/$R$72</f>
        <v>0</v>
      </c>
      <c r="T35" s="16">
        <f>$N$4*S33+$O$4*S34+$P$4*S35+$Q$4*S36+$R$4*S37</f>
        <v>0</v>
      </c>
      <c r="U35" s="15">
        <f t="shared" si="8"/>
        <v>2.4000000000000008</v>
      </c>
      <c r="V35" s="7">
        <f t="shared" si="3"/>
        <v>0</v>
      </c>
      <c r="W35" s="7">
        <f>V35/$V$37</f>
        <v>0</v>
      </c>
      <c r="X35" s="16">
        <f>$N$4*W33+$O$4*W34+$P$4*W35+$Q$4*W36</f>
        <v>0</v>
      </c>
      <c r="Z35" s="26">
        <f t="shared" si="20"/>
        <v>6.6</v>
      </c>
      <c r="AA35" s="7">
        <f t="shared" ref="AA35:AA48" si="23">COUNTIF($B$62:$B$111,Z35)</f>
        <v>2</v>
      </c>
      <c r="AB35" s="7">
        <f>AA35/$AA$49</f>
        <v>0.04</v>
      </c>
      <c r="AC35" s="16">
        <f>$N$4*AB33+$O$4*AB34+$P$4*AB35+$Q$4*AB36+$R$4*AB37</f>
        <v>3.9000000000000007E-2</v>
      </c>
      <c r="AD35" s="26">
        <f t="shared" si="10"/>
        <v>4.3000000000000007</v>
      </c>
      <c r="AE35" s="7">
        <f t="shared" si="4"/>
        <v>0</v>
      </c>
      <c r="AF35" s="7">
        <f>AE35/$AA$49</f>
        <v>0</v>
      </c>
      <c r="AG35" s="14">
        <f>$N$4*AF33+$O$4*AF34+$P$4*AF35+$Q$4*AF36</f>
        <v>0</v>
      </c>
      <c r="AH35" s="15">
        <f t="shared" si="22"/>
        <v>3.300000000000002</v>
      </c>
      <c r="AI35" s="7">
        <f t="shared" si="5"/>
        <v>2</v>
      </c>
      <c r="AJ35" s="7">
        <f>AI35/$R$72</f>
        <v>0.04</v>
      </c>
      <c r="AK35" s="16">
        <f>$N$4*AJ33+$O$4*AJ34+$P$4*AJ35+$Q$4*AJ36+$R$4*AJ37</f>
        <v>2.1999999999999999E-2</v>
      </c>
      <c r="AL35" s="15">
        <f t="shared" si="12"/>
        <v>2.4000000000000008</v>
      </c>
      <c r="AM35" s="7">
        <f t="shared" si="6"/>
        <v>0</v>
      </c>
      <c r="AN35" s="7">
        <f>AM35/$V$37</f>
        <v>0</v>
      </c>
      <c r="AO35" s="16">
        <f>$N$4*AN33+$O$4*AN34+$P$4*AN35+$Q$4*AN36</f>
        <v>0</v>
      </c>
    </row>
    <row r="36" spans="1:41" ht="15.75" thickBot="1" x14ac:dyDescent="0.3">
      <c r="A36" s="1">
        <v>25</v>
      </c>
      <c r="B36" s="5">
        <v>4.8</v>
      </c>
      <c r="C36">
        <v>3.4</v>
      </c>
      <c r="D36">
        <v>1.9</v>
      </c>
      <c r="E36">
        <v>0.2</v>
      </c>
      <c r="F36" t="s">
        <v>5</v>
      </c>
      <c r="G36" s="35" t="s">
        <v>22</v>
      </c>
      <c r="I36" s="15">
        <f>I35+0.1</f>
        <v>6.6999999999999957</v>
      </c>
      <c r="J36" s="7">
        <f>COUNTIF($B$12:$B$61,I36)</f>
        <v>0</v>
      </c>
      <c r="K36" s="7">
        <f>J36/$J$49</f>
        <v>0</v>
      </c>
      <c r="L36" s="16">
        <f>$N$4*K34+$O$4*K35+$P$4*K36+$Q$4*K37+$R$4*K38</f>
        <v>0</v>
      </c>
      <c r="M36" s="67">
        <f t="shared" si="18"/>
        <v>4.3999999999999995</v>
      </c>
      <c r="N36" s="51">
        <f t="shared" si="17"/>
        <v>1</v>
      </c>
      <c r="O36" s="51">
        <f>N36/$N$37</f>
        <v>0.02</v>
      </c>
      <c r="P36" s="54">
        <f>$N$4*O34+$O$4*O35+$P$4*O36</f>
        <v>1.0999999999999999E-2</v>
      </c>
      <c r="Q36" s="15">
        <f t="shared" si="21"/>
        <v>3.4000000000000021</v>
      </c>
      <c r="R36" s="7">
        <f t="shared" si="2"/>
        <v>0</v>
      </c>
      <c r="S36" s="7">
        <f>R36/$R$72</f>
        <v>0</v>
      </c>
      <c r="T36" s="16">
        <f>$N$4*S34+$O$4*S35+$P$4*S36+$Q$4*S37+$R$4*S38</f>
        <v>0</v>
      </c>
      <c r="U36" s="67">
        <f t="shared" si="8"/>
        <v>2.5000000000000009</v>
      </c>
      <c r="V36" s="51">
        <f t="shared" si="3"/>
        <v>0</v>
      </c>
      <c r="W36" s="51">
        <f>V36/$V$37</f>
        <v>0</v>
      </c>
      <c r="X36" s="54">
        <f>$N$4*W34+$O$4*W35+$P$4*W36</f>
        <v>0</v>
      </c>
      <c r="Z36" s="26">
        <f t="shared" si="20"/>
        <v>6.6999999999999993</v>
      </c>
      <c r="AA36" s="7">
        <f t="shared" si="23"/>
        <v>3</v>
      </c>
      <c r="AB36" s="7">
        <f>AA36/$AA$49</f>
        <v>0.06</v>
      </c>
      <c r="AC36" s="16">
        <f>$N$4*AB34+$O$4*AB35+$P$4*AB36+$Q$4*AB37+$R$4*AB38</f>
        <v>4.3999999999999997E-2</v>
      </c>
      <c r="AD36" s="71">
        <f t="shared" si="10"/>
        <v>4.4000000000000004</v>
      </c>
      <c r="AE36" s="51">
        <f t="shared" si="4"/>
        <v>0</v>
      </c>
      <c r="AF36" s="51">
        <f>AE36/$AA$49</f>
        <v>0</v>
      </c>
      <c r="AG36" s="61">
        <f>$N$4*AF34+$O$4*AF35+$P$4*AF36</f>
        <v>0</v>
      </c>
      <c r="AH36" s="15">
        <f t="shared" si="22"/>
        <v>3.4000000000000021</v>
      </c>
      <c r="AI36" s="7">
        <f t="shared" si="5"/>
        <v>0</v>
      </c>
      <c r="AJ36" s="7">
        <f>AI36/$R$72</f>
        <v>0</v>
      </c>
      <c r="AK36" s="16">
        <f>$N$4*AJ34+$O$4*AJ35+$P$4*AJ36+$Q$4*AJ37+$R$4*AJ38</f>
        <v>1.7000000000000001E-2</v>
      </c>
      <c r="AL36" s="67">
        <f t="shared" si="12"/>
        <v>2.5000000000000009</v>
      </c>
      <c r="AM36" s="51">
        <f t="shared" si="6"/>
        <v>0</v>
      </c>
      <c r="AN36" s="51">
        <f>AM36/$V$37</f>
        <v>0</v>
      </c>
      <c r="AO36" s="54">
        <f>$N$4*AN34+$O$4*AN35+$P$4*AN36</f>
        <v>0</v>
      </c>
    </row>
    <row r="37" spans="1:41" ht="15.75" thickBot="1" x14ac:dyDescent="0.3">
      <c r="A37" s="1">
        <v>26</v>
      </c>
      <c r="B37" s="5">
        <v>5</v>
      </c>
      <c r="C37">
        <v>3</v>
      </c>
      <c r="D37">
        <v>1.6</v>
      </c>
      <c r="E37">
        <v>0.2</v>
      </c>
      <c r="F37" t="s">
        <v>5</v>
      </c>
      <c r="G37" s="35" t="s">
        <v>22</v>
      </c>
      <c r="I37" s="15">
        <f>I36+0.1</f>
        <v>6.7999999999999954</v>
      </c>
      <c r="J37" s="7">
        <f>COUNTIF($B$12:$B$61,I37)</f>
        <v>0</v>
      </c>
      <c r="K37" s="45">
        <f>J37/$J$49</f>
        <v>0</v>
      </c>
      <c r="L37" s="16">
        <f>$N$4*K35+$O$4*K36+$P$4*K37+$Q$4*K38+$R$4*K39</f>
        <v>0</v>
      </c>
      <c r="M37" s="56" t="s">
        <v>13</v>
      </c>
      <c r="N37" s="57">
        <f>SUM(N12:N36)</f>
        <v>50</v>
      </c>
      <c r="O37" s="58">
        <f>SUM(O12:O36)</f>
        <v>1</v>
      </c>
      <c r="P37" s="8"/>
      <c r="Q37" s="15">
        <f t="shared" si="21"/>
        <v>3.5000000000000022</v>
      </c>
      <c r="R37" s="7">
        <f t="shared" si="2"/>
        <v>0</v>
      </c>
      <c r="S37" s="7">
        <f>R37/$R$72</f>
        <v>0</v>
      </c>
      <c r="T37" s="16">
        <f>$N$4*S35+$O$4*S36+$P$4*S37+$Q$4*S38+$R$4*S39</f>
        <v>0</v>
      </c>
      <c r="U37" s="56" t="s">
        <v>13</v>
      </c>
      <c r="V37" s="57">
        <f>SUM(V12:V36)</f>
        <v>50</v>
      </c>
      <c r="W37" s="58">
        <f>SUM(W12:W36)</f>
        <v>1</v>
      </c>
      <c r="X37" s="8"/>
      <c r="Z37" s="26">
        <f t="shared" si="20"/>
        <v>6.7999999999999989</v>
      </c>
      <c r="AA37" s="7">
        <f t="shared" si="23"/>
        <v>1</v>
      </c>
      <c r="AB37" s="7">
        <f>AA37/$AA$49</f>
        <v>0.02</v>
      </c>
      <c r="AC37" s="16">
        <f>$N$4*AB35+$O$4*AB36+$P$4*AB37+$Q$4*AB38+$R$4*AB39</f>
        <v>2.9000000000000001E-2</v>
      </c>
      <c r="AD37" s="59" t="s">
        <v>13</v>
      </c>
      <c r="AE37" s="57">
        <f>SUM(AE12:AE36)</f>
        <v>50</v>
      </c>
      <c r="AF37" s="58">
        <f>SUM(AF12:AF36)</f>
        <v>1.0000000000000002</v>
      </c>
      <c r="AH37" s="15">
        <f t="shared" si="22"/>
        <v>3.5000000000000022</v>
      </c>
      <c r="AI37" s="7">
        <f t="shared" si="5"/>
        <v>2</v>
      </c>
      <c r="AJ37" s="7">
        <f>AI37/$R$72</f>
        <v>0.04</v>
      </c>
      <c r="AK37" s="16">
        <f>$N$4*AJ35+$O$4*AJ36+$P$4*AJ37+$Q$4*AJ38+$R$4*AJ39</f>
        <v>2.7E-2</v>
      </c>
      <c r="AL37" s="59" t="s">
        <v>13</v>
      </c>
      <c r="AM37" s="57">
        <f>SUM(AM12:AM36)</f>
        <v>50</v>
      </c>
      <c r="AN37" s="58">
        <f>SUM(AN12:AN36)</f>
        <v>1.0000000000000002</v>
      </c>
    </row>
    <row r="38" spans="1:41" x14ac:dyDescent="0.25">
      <c r="A38" s="1">
        <v>27</v>
      </c>
      <c r="B38" s="5">
        <v>5</v>
      </c>
      <c r="C38">
        <v>3.4</v>
      </c>
      <c r="D38">
        <v>1.6</v>
      </c>
      <c r="E38">
        <v>0.4</v>
      </c>
      <c r="F38" t="s">
        <v>5</v>
      </c>
      <c r="G38" s="35" t="s">
        <v>22</v>
      </c>
      <c r="I38" s="15">
        <f>I37+0.1</f>
        <v>6.899999999999995</v>
      </c>
      <c r="J38" s="7">
        <f>COUNTIF($B$12:$B$61,I38)</f>
        <v>0</v>
      </c>
      <c r="K38" s="14">
        <f>J38/$J$49</f>
        <v>0</v>
      </c>
      <c r="L38" s="16">
        <f>$N$4*K36+$O$4*K37+$P$4*K38+$Q$4*K39+$R$4*K40</f>
        <v>0</v>
      </c>
      <c r="Q38" s="15">
        <f t="shared" si="21"/>
        <v>3.6000000000000023</v>
      </c>
      <c r="R38" s="7">
        <f t="shared" si="2"/>
        <v>0</v>
      </c>
      <c r="S38" s="7">
        <f>R38/$R$72</f>
        <v>0</v>
      </c>
      <c r="T38" s="16">
        <f>$N$4*S36+$O$4*S37+$P$4*S38+$Q$4*S39+$R$4*S40</f>
        <v>0</v>
      </c>
      <c r="Z38" s="26">
        <f t="shared" si="20"/>
        <v>6.8999999999999986</v>
      </c>
      <c r="AA38" s="7">
        <f t="shared" si="23"/>
        <v>1</v>
      </c>
      <c r="AB38" s="7">
        <f>AA38/$AA$49</f>
        <v>0.02</v>
      </c>
      <c r="AC38" s="16">
        <f>$N$4*AB36+$O$4*AB37+$P$4*AB38+$Q$4*AB39+$R$4*AB40</f>
        <v>2.1000000000000001E-2</v>
      </c>
      <c r="AH38" s="15">
        <f t="shared" si="22"/>
        <v>3.6000000000000023</v>
      </c>
      <c r="AI38" s="7">
        <f t="shared" si="5"/>
        <v>1</v>
      </c>
      <c r="AJ38" s="7">
        <f>AI38/$R$72</f>
        <v>0.02</v>
      </c>
      <c r="AK38" s="16">
        <f>$N$4*AJ36+$O$4*AJ37+$P$4*AJ38+$Q$4*AJ39+$R$4*AJ40</f>
        <v>2.3000000000000003E-2</v>
      </c>
    </row>
    <row r="39" spans="1:41" x14ac:dyDescent="0.25">
      <c r="A39" s="1">
        <v>28</v>
      </c>
      <c r="B39" s="5">
        <v>5.2</v>
      </c>
      <c r="C39">
        <v>3.5</v>
      </c>
      <c r="D39">
        <v>1.5</v>
      </c>
      <c r="E39">
        <v>0.2</v>
      </c>
      <c r="F39" t="s">
        <v>5</v>
      </c>
      <c r="G39" s="35" t="s">
        <v>22</v>
      </c>
      <c r="I39" s="15">
        <f>I38+0.1</f>
        <v>6.9999999999999947</v>
      </c>
      <c r="J39" s="7">
        <f>COUNTIF($B$12:$B$61,I39)</f>
        <v>0</v>
      </c>
      <c r="K39" s="14">
        <f>J39/$J$49</f>
        <v>0</v>
      </c>
      <c r="L39" s="16">
        <f>$N$4*K37+$O$4*K38+$P$4*K39+$Q$4*K40+$R$4*K41</f>
        <v>0</v>
      </c>
      <c r="Q39" s="15">
        <f t="shared" si="21"/>
        <v>3.7000000000000024</v>
      </c>
      <c r="R39" s="7">
        <f t="shared" si="2"/>
        <v>0</v>
      </c>
      <c r="S39" s="7">
        <f>R39/$R$72</f>
        <v>0</v>
      </c>
      <c r="T39" s="16">
        <f>$N$4*S37+$O$4*S38+$P$4*S39+$Q$4*S40+$R$4*S41</f>
        <v>0</v>
      </c>
      <c r="Z39" s="26">
        <f t="shared" si="20"/>
        <v>6.9999999999999982</v>
      </c>
      <c r="AA39" s="7">
        <f t="shared" si="23"/>
        <v>1</v>
      </c>
      <c r="AB39" s="7">
        <f>AA39/$AA$49</f>
        <v>0.02</v>
      </c>
      <c r="AC39" s="16">
        <f>$N$4*AB37+$O$4*AB38+$P$4*AB39+$Q$4*AB40+$R$4*AB41</f>
        <v>1.4999999999999999E-2</v>
      </c>
      <c r="AH39" s="15">
        <f t="shared" si="22"/>
        <v>3.7000000000000024</v>
      </c>
      <c r="AI39" s="7">
        <f t="shared" si="5"/>
        <v>1</v>
      </c>
      <c r="AJ39" s="7">
        <f>AI39/$R$72</f>
        <v>0.02</v>
      </c>
      <c r="AK39" s="16">
        <f>$N$4*AJ37+$O$4*AJ38+$P$4*AJ39+$Q$4*AJ40+$R$4*AJ41</f>
        <v>2.3E-2</v>
      </c>
    </row>
    <row r="40" spans="1:41" x14ac:dyDescent="0.25">
      <c r="A40" s="1">
        <v>29</v>
      </c>
      <c r="B40" s="5">
        <v>5.2</v>
      </c>
      <c r="C40">
        <v>3.4</v>
      </c>
      <c r="D40">
        <v>1.4</v>
      </c>
      <c r="E40">
        <v>0.2</v>
      </c>
      <c r="F40" t="s">
        <v>5</v>
      </c>
      <c r="G40" s="35" t="s">
        <v>22</v>
      </c>
      <c r="I40" s="15">
        <f>I39+0.1</f>
        <v>7.0999999999999943</v>
      </c>
      <c r="J40" s="7">
        <f>COUNTIF($B$12:$B$61,I40)</f>
        <v>0</v>
      </c>
      <c r="K40" s="14">
        <f>J40/$J$49</f>
        <v>0</v>
      </c>
      <c r="L40" s="16">
        <f>$N$4*K38+$O$4*K39+$P$4*K40+$Q$4*K41+$R$4*K42</f>
        <v>0</v>
      </c>
      <c r="Q40" s="15">
        <f t="shared" si="21"/>
        <v>3.8000000000000025</v>
      </c>
      <c r="R40" s="7">
        <f t="shared" si="2"/>
        <v>0</v>
      </c>
      <c r="S40" s="7">
        <f>R40/$R$72</f>
        <v>0</v>
      </c>
      <c r="T40" s="16">
        <f>$N$4*S38+$O$4*S39+$P$4*S40+$Q$4*S41+$R$4*S42</f>
        <v>0</v>
      </c>
      <c r="Z40" s="26">
        <f t="shared" si="20"/>
        <v>7.0999999999999979</v>
      </c>
      <c r="AA40" s="7">
        <f t="shared" si="23"/>
        <v>0</v>
      </c>
      <c r="AB40" s="7">
        <f>AA40/$AA$49</f>
        <v>0</v>
      </c>
      <c r="AC40" s="16">
        <f>$N$4*AB38+$O$4*AB39+$P$4*AB40+$Q$4*AB41+$R$4*AB42</f>
        <v>5.0000000000000001E-3</v>
      </c>
      <c r="AH40" s="15">
        <f t="shared" si="22"/>
        <v>3.8000000000000025</v>
      </c>
      <c r="AI40" s="7">
        <f t="shared" si="5"/>
        <v>1</v>
      </c>
      <c r="AJ40" s="7">
        <f>AI40/$R$72</f>
        <v>0.02</v>
      </c>
      <c r="AK40" s="16">
        <f>$N$4*AJ38+$O$4*AJ39+$P$4*AJ40+$Q$4*AJ41+$R$4*AJ42</f>
        <v>3.2000000000000001E-2</v>
      </c>
    </row>
    <row r="41" spans="1:41" x14ac:dyDescent="0.25">
      <c r="A41" s="1">
        <v>30</v>
      </c>
      <c r="B41" s="5">
        <v>4.7</v>
      </c>
      <c r="C41">
        <v>3.2</v>
      </c>
      <c r="D41">
        <v>1.6</v>
      </c>
      <c r="E41">
        <v>0.2</v>
      </c>
      <c r="F41" t="s">
        <v>5</v>
      </c>
      <c r="G41" s="35" t="s">
        <v>22</v>
      </c>
      <c r="I41" s="15">
        <f>I40+0.1</f>
        <v>7.199999999999994</v>
      </c>
      <c r="J41" s="7">
        <f>COUNTIF($B$12:$B$61,I41)</f>
        <v>0</v>
      </c>
      <c r="K41" s="14">
        <f>J41/$J$49</f>
        <v>0</v>
      </c>
      <c r="L41" s="16">
        <f>$N$4*K39+$O$4*K40+$P$4*K41+$Q$4*K42+$R$4*K43</f>
        <v>0</v>
      </c>
      <c r="Q41" s="15">
        <f t="shared" si="21"/>
        <v>3.9000000000000026</v>
      </c>
      <c r="R41" s="7">
        <f t="shared" si="2"/>
        <v>0</v>
      </c>
      <c r="S41" s="7">
        <f>R41/$R$72</f>
        <v>0</v>
      </c>
      <c r="T41" s="16">
        <f>$N$4*S39+$O$4*S40+$P$4*S41+$Q$4*S42+$R$4*S43</f>
        <v>0</v>
      </c>
      <c r="Z41" s="26">
        <f t="shared" si="20"/>
        <v>7.1999999999999975</v>
      </c>
      <c r="AA41" s="7">
        <f t="shared" si="23"/>
        <v>0</v>
      </c>
      <c r="AB41" s="7">
        <f>AA41/$AA$49</f>
        <v>0</v>
      </c>
      <c r="AC41" s="16">
        <f>$N$4*AB39+$O$4*AB40+$P$4*AB41+$Q$4*AB42+$R$4*AB43</f>
        <v>1E-3</v>
      </c>
      <c r="AH41" s="15">
        <f t="shared" si="22"/>
        <v>3.9000000000000026</v>
      </c>
      <c r="AI41" s="7">
        <f t="shared" si="5"/>
        <v>3</v>
      </c>
      <c r="AJ41" s="7">
        <f>AI41/$R$72</f>
        <v>0.06</v>
      </c>
      <c r="AK41" s="16">
        <f>$N$4*AJ39+$O$4*AJ40+$P$4*AJ41+$Q$4*AJ42+$R$4*AJ43</f>
        <v>5.8000000000000003E-2</v>
      </c>
    </row>
    <row r="42" spans="1:41" x14ac:dyDescent="0.25">
      <c r="A42" s="1">
        <v>31</v>
      </c>
      <c r="B42" s="5">
        <v>4.8</v>
      </c>
      <c r="C42">
        <v>3.1</v>
      </c>
      <c r="D42">
        <v>1.6</v>
      </c>
      <c r="E42">
        <v>0.2</v>
      </c>
      <c r="F42" t="s">
        <v>5</v>
      </c>
      <c r="G42" s="35" t="s">
        <v>22</v>
      </c>
      <c r="I42" s="15">
        <f>I41+0.1</f>
        <v>7.2999999999999936</v>
      </c>
      <c r="J42" s="7">
        <f>COUNTIF($B$12:$B$61,I42)</f>
        <v>0</v>
      </c>
      <c r="K42" s="14">
        <f>J42/$J$49</f>
        <v>0</v>
      </c>
      <c r="L42" s="16">
        <f>$N$4*K40+$O$4*K41+$P$4*K42+$Q$4*K43+$R$4*K44</f>
        <v>0</v>
      </c>
      <c r="Q42" s="15">
        <f t="shared" si="21"/>
        <v>4.0000000000000027</v>
      </c>
      <c r="R42" s="7">
        <f t="shared" si="2"/>
        <v>0</v>
      </c>
      <c r="S42" s="7">
        <f>R42/$R$72</f>
        <v>0</v>
      </c>
      <c r="T42" s="16">
        <f>$N$4*S40+$O$4*S41+$P$4*S42+$Q$4*S43+$R$4*S44</f>
        <v>0</v>
      </c>
      <c r="Z42" s="26">
        <f t="shared" si="20"/>
        <v>7.2999999999999972</v>
      </c>
      <c r="AA42" s="7">
        <f t="shared" si="23"/>
        <v>0</v>
      </c>
      <c r="AB42" s="7">
        <f>AA42/$AA$49</f>
        <v>0</v>
      </c>
      <c r="AC42" s="16">
        <f>$N$4*AB40+$O$4*AB41+$P$4*AB42+$Q$4*AB43+$R$4*AB44</f>
        <v>0</v>
      </c>
      <c r="AH42" s="15">
        <f t="shared" si="22"/>
        <v>4.0000000000000027</v>
      </c>
      <c r="AI42" s="7">
        <f t="shared" si="5"/>
        <v>5</v>
      </c>
      <c r="AJ42" s="7">
        <f>AI42/$R$72</f>
        <v>0.1</v>
      </c>
      <c r="AK42" s="16">
        <f>$N$4*AJ40+$O$4*AJ41+$P$4*AJ42+$Q$4*AJ43+$R$4*AJ44</f>
        <v>7.9000000000000001E-2</v>
      </c>
    </row>
    <row r="43" spans="1:41" x14ac:dyDescent="0.25">
      <c r="A43" s="1">
        <v>32</v>
      </c>
      <c r="B43" s="5">
        <v>5.4</v>
      </c>
      <c r="C43">
        <v>3.4</v>
      </c>
      <c r="D43">
        <v>1.5</v>
      </c>
      <c r="E43">
        <v>0.4</v>
      </c>
      <c r="F43" t="s">
        <v>5</v>
      </c>
      <c r="G43" s="35" t="s">
        <v>22</v>
      </c>
      <c r="I43" s="15">
        <f>I42+0.1</f>
        <v>7.3999999999999932</v>
      </c>
      <c r="J43" s="7">
        <f>COUNTIF($B$12:$B$61,I43)</f>
        <v>0</v>
      </c>
      <c r="K43" s="14">
        <f>J43/$J$49</f>
        <v>0</v>
      </c>
      <c r="L43" s="16">
        <f>$N$4*K41+$O$4*K42+$P$4*K43+$Q$4*K44+$R$4*K45</f>
        <v>0</v>
      </c>
      <c r="Q43" s="15">
        <f t="shared" si="21"/>
        <v>4.1000000000000023</v>
      </c>
      <c r="R43" s="7">
        <f t="shared" si="2"/>
        <v>0</v>
      </c>
      <c r="S43" s="7">
        <f>R43/$R$72</f>
        <v>0</v>
      </c>
      <c r="T43" s="16">
        <f>$N$4*S41+$O$4*S42+$P$4*S43+$Q$4*S44+$R$4*S45</f>
        <v>0</v>
      </c>
      <c r="Z43" s="26">
        <f t="shared" si="20"/>
        <v>7.3999999999999968</v>
      </c>
      <c r="AA43" s="7">
        <f t="shared" si="23"/>
        <v>0</v>
      </c>
      <c r="AB43" s="7">
        <f>AA43/$AA$49</f>
        <v>0</v>
      </c>
      <c r="AC43" s="16">
        <f>$N$4*AB41+$O$4*AB42+$P$4*AB43+$Q$4*AB44+$R$4*AB45</f>
        <v>0</v>
      </c>
      <c r="AH43" s="15">
        <f t="shared" si="22"/>
        <v>4.1000000000000023</v>
      </c>
      <c r="AI43" s="7">
        <f t="shared" si="5"/>
        <v>3</v>
      </c>
      <c r="AJ43" s="7">
        <f>AI43/$R$72</f>
        <v>0.06</v>
      </c>
      <c r="AK43" s="16">
        <f>$N$4*AJ41+$O$4*AJ42+$P$4*AJ43+$Q$4*AJ44+$R$4*AJ45</f>
        <v>7.1000000000000008E-2</v>
      </c>
    </row>
    <row r="44" spans="1:41" x14ac:dyDescent="0.25">
      <c r="A44" s="1">
        <v>33</v>
      </c>
      <c r="B44" s="5">
        <v>5.2</v>
      </c>
      <c r="C44">
        <v>4.0999999999999996</v>
      </c>
      <c r="D44">
        <v>1.5</v>
      </c>
      <c r="E44">
        <v>0.1</v>
      </c>
      <c r="F44" t="s">
        <v>5</v>
      </c>
      <c r="G44" s="35" t="s">
        <v>22</v>
      </c>
      <c r="I44" s="15">
        <f>I43+0.1</f>
        <v>7.4999999999999929</v>
      </c>
      <c r="J44" s="7">
        <f>COUNTIF($B$12:$B$61,I44)</f>
        <v>0</v>
      </c>
      <c r="K44" s="14">
        <f>J44/$J$49</f>
        <v>0</v>
      </c>
      <c r="L44" s="16">
        <f>$N$4*K42+$O$4*K43+$P$4*K44+$Q$4*K45+$R$4*K46</f>
        <v>0</v>
      </c>
      <c r="Q44" s="15">
        <f t="shared" si="21"/>
        <v>4.200000000000002</v>
      </c>
      <c r="R44" s="7">
        <f t="shared" si="2"/>
        <v>0</v>
      </c>
      <c r="S44" s="7">
        <f>R44/$R$72</f>
        <v>0</v>
      </c>
      <c r="T44" s="16">
        <f>$N$4*S42+$O$4*S43+$P$4*S44+$Q$4*S45+$R$4*S46</f>
        <v>0</v>
      </c>
      <c r="Z44" s="26">
        <f t="shared" si="20"/>
        <v>7.4999999999999964</v>
      </c>
      <c r="AA44" s="7">
        <f t="shared" si="23"/>
        <v>0</v>
      </c>
      <c r="AB44" s="7">
        <f>AA44/$AA$49</f>
        <v>0</v>
      </c>
      <c r="AC44" s="16">
        <f>$N$4*AB42+$O$4*AB43+$P$4*AB44+$Q$4*AB45+$R$4*AB46</f>
        <v>0</v>
      </c>
      <c r="AH44" s="15">
        <f t="shared" si="22"/>
        <v>4.200000000000002</v>
      </c>
      <c r="AI44" s="7">
        <f t="shared" si="5"/>
        <v>4</v>
      </c>
      <c r="AJ44" s="7">
        <f>AI44/$R$72</f>
        <v>0.08</v>
      </c>
      <c r="AK44" s="16">
        <f>$N$4*AJ42+$O$4*AJ43+$P$4*AJ44+$Q$4*AJ45+$R$4*AJ46</f>
        <v>6.9000000000000006E-2</v>
      </c>
    </row>
    <row r="45" spans="1:41" x14ac:dyDescent="0.25">
      <c r="A45" s="1">
        <v>34</v>
      </c>
      <c r="B45" s="5">
        <v>5.5</v>
      </c>
      <c r="C45">
        <v>4.2</v>
      </c>
      <c r="D45">
        <v>1.4</v>
      </c>
      <c r="E45">
        <v>0.2</v>
      </c>
      <c r="F45" t="s">
        <v>5</v>
      </c>
      <c r="G45" s="35" t="s">
        <v>22</v>
      </c>
      <c r="I45" s="15">
        <f>I44+0.1</f>
        <v>7.5999999999999925</v>
      </c>
      <c r="J45" s="7">
        <f>COUNTIF($B$12:$B$61,I45)</f>
        <v>0</v>
      </c>
      <c r="K45" s="14">
        <f>J45/$J$49</f>
        <v>0</v>
      </c>
      <c r="L45" s="16">
        <f>$N$4*K43+$O$4*K44+$P$4*K45+$Q$4*K46+$R$4*K47</f>
        <v>0</v>
      </c>
      <c r="Q45" s="15">
        <f t="shared" si="21"/>
        <v>4.3000000000000016</v>
      </c>
      <c r="R45" s="7">
        <f t="shared" si="2"/>
        <v>0</v>
      </c>
      <c r="S45" s="7">
        <f>R45/$R$72</f>
        <v>0</v>
      </c>
      <c r="T45" s="16">
        <f>$N$4*S43+$O$4*S44+$P$4*S45+$Q$4*S46+$R$4*S47</f>
        <v>0</v>
      </c>
      <c r="Z45" s="26">
        <f t="shared" si="20"/>
        <v>7.5999999999999961</v>
      </c>
      <c r="AA45" s="7">
        <f t="shared" si="23"/>
        <v>0</v>
      </c>
      <c r="AB45" s="7">
        <f>AA45/$AA$49</f>
        <v>0</v>
      </c>
      <c r="AC45" s="16">
        <f>$N$4*AB43+$O$4*AB44+$P$4*AB45+$Q$4*AB46+$R$4*AB47</f>
        <v>0</v>
      </c>
      <c r="AH45" s="15">
        <f t="shared" si="22"/>
        <v>4.3000000000000016</v>
      </c>
      <c r="AI45" s="7">
        <f t="shared" si="5"/>
        <v>2</v>
      </c>
      <c r="AJ45" s="7">
        <f>AI45/$R$72</f>
        <v>0.04</v>
      </c>
      <c r="AK45" s="16">
        <f>$N$4*AJ43+$O$4*AJ44+$P$4*AJ45+$Q$4*AJ46+$R$4*AJ47</f>
        <v>6.2E-2</v>
      </c>
    </row>
    <row r="46" spans="1:41" x14ac:dyDescent="0.25">
      <c r="A46" s="1">
        <v>35</v>
      </c>
      <c r="B46" s="5">
        <v>4.9000000000000004</v>
      </c>
      <c r="C46">
        <v>3.1</v>
      </c>
      <c r="D46">
        <v>1.5</v>
      </c>
      <c r="E46">
        <v>0.1</v>
      </c>
      <c r="F46" t="s">
        <v>5</v>
      </c>
      <c r="G46" s="35" t="s">
        <v>22</v>
      </c>
      <c r="I46" s="15">
        <f>I45+0.1</f>
        <v>7.6999999999999922</v>
      </c>
      <c r="J46" s="7">
        <f>COUNTIF($B$12:$B$61,I46)</f>
        <v>0</v>
      </c>
      <c r="K46" s="14">
        <f>J46/$J$49</f>
        <v>0</v>
      </c>
      <c r="L46" s="16">
        <f>$N$4*K44+$O$4*K45+$P$4*K46+$Q$4*K47+$R$4*K48</f>
        <v>0</v>
      </c>
      <c r="Q46" s="15">
        <f t="shared" si="21"/>
        <v>4.4000000000000012</v>
      </c>
      <c r="R46" s="7">
        <f t="shared" si="2"/>
        <v>0</v>
      </c>
      <c r="S46" s="7">
        <f>R46/$R$72</f>
        <v>0</v>
      </c>
      <c r="T46" s="16">
        <f>$N$4*S44+$O$4*S45+$P$4*S46+$Q$4*S47+$R$4*S48</f>
        <v>0</v>
      </c>
      <c r="Z46" s="26">
        <f t="shared" si="20"/>
        <v>7.6999999999999957</v>
      </c>
      <c r="AA46" s="7">
        <f t="shared" si="23"/>
        <v>0</v>
      </c>
      <c r="AB46" s="7">
        <f>AA46/$AA$49</f>
        <v>0</v>
      </c>
      <c r="AC46" s="16">
        <f>$N$4*AB44+$O$4*AB45+$P$4*AB46+$Q$4*AB47+$R$4*AB48</f>
        <v>0</v>
      </c>
      <c r="AH46" s="15">
        <f t="shared" si="22"/>
        <v>4.4000000000000012</v>
      </c>
      <c r="AI46" s="7">
        <f t="shared" si="5"/>
        <v>4</v>
      </c>
      <c r="AJ46" s="7">
        <f>AI46/$R$72</f>
        <v>0.08</v>
      </c>
      <c r="AK46" s="16">
        <f>$N$4*AJ44+$O$4*AJ45+$P$4*AJ46+$Q$4*AJ47+$R$4*AJ48</f>
        <v>8.3000000000000018E-2</v>
      </c>
    </row>
    <row r="47" spans="1:41" x14ac:dyDescent="0.25">
      <c r="A47" s="1">
        <v>36</v>
      </c>
      <c r="B47" s="5">
        <v>5</v>
      </c>
      <c r="C47">
        <v>3.2</v>
      </c>
      <c r="D47">
        <v>1.2</v>
      </c>
      <c r="E47">
        <v>0.2</v>
      </c>
      <c r="F47" t="s">
        <v>5</v>
      </c>
      <c r="G47" s="35" t="s">
        <v>22</v>
      </c>
      <c r="I47" s="15">
        <f>I46+0.1</f>
        <v>7.7999999999999918</v>
      </c>
      <c r="J47" s="7">
        <f>COUNTIF($B$12:$B$61,I47)</f>
        <v>0</v>
      </c>
      <c r="K47" s="14">
        <f>J47/$J$49</f>
        <v>0</v>
      </c>
      <c r="L47" s="16">
        <f>$N$4*K45+$O$4*K46+$P$4*K47+$Q$4*K48</f>
        <v>0</v>
      </c>
      <c r="Q47" s="15">
        <f t="shared" si="21"/>
        <v>4.5000000000000009</v>
      </c>
      <c r="R47" s="7">
        <f t="shared" si="2"/>
        <v>0</v>
      </c>
      <c r="S47" s="7">
        <f>R47/$R$72</f>
        <v>0</v>
      </c>
      <c r="T47" s="16">
        <f t="shared" ref="T47:T71" si="24">$N$4*S45+$O$4*S46+$P$4*S47+$Q$4*S48+$R$4*S49</f>
        <v>0</v>
      </c>
      <c r="Z47" s="26">
        <f t="shared" si="20"/>
        <v>7.7999999999999954</v>
      </c>
      <c r="AA47" s="7">
        <f t="shared" si="23"/>
        <v>0</v>
      </c>
      <c r="AB47" s="7">
        <f>AA47/$AA$49</f>
        <v>0</v>
      </c>
      <c r="AC47" s="16">
        <f>$N$4*AB45+$O$4*AB46+$P$4*AB47+$Q$4*AB48</f>
        <v>0</v>
      </c>
      <c r="AH47" s="15">
        <f t="shared" si="22"/>
        <v>4.5000000000000009</v>
      </c>
      <c r="AI47" s="7">
        <f t="shared" si="5"/>
        <v>7</v>
      </c>
      <c r="AJ47" s="7">
        <f>AI47/$R$72</f>
        <v>0.14000000000000001</v>
      </c>
      <c r="AK47" s="16">
        <f t="shared" ref="AK47:AK69" si="25">$N$4*AJ45+$O$4*AJ46+$P$4*AJ47+$Q$4*AJ48+$R$4*AJ49</f>
        <v>0.10500000000000001</v>
      </c>
    </row>
    <row r="48" spans="1:41" ht="15.75" thickBot="1" x14ac:dyDescent="0.3">
      <c r="A48" s="1">
        <v>37</v>
      </c>
      <c r="B48" s="5">
        <v>5.5</v>
      </c>
      <c r="C48">
        <v>3.5</v>
      </c>
      <c r="D48">
        <v>1.3</v>
      </c>
      <c r="E48">
        <v>0.2</v>
      </c>
      <c r="F48" t="s">
        <v>5</v>
      </c>
      <c r="G48" s="35" t="s">
        <v>22</v>
      </c>
      <c r="I48" s="67">
        <f>I47+0.1</f>
        <v>7.8999999999999915</v>
      </c>
      <c r="J48" s="51">
        <f>COUNTIF($B$12:$B$61,I48)</f>
        <v>0</v>
      </c>
      <c r="K48" s="61">
        <f>J48/$J$49</f>
        <v>0</v>
      </c>
      <c r="L48" s="54">
        <f>$N$4*K46+$O$4*K47+$P$4*K48</f>
        <v>0</v>
      </c>
      <c r="Q48" s="15">
        <f t="shared" si="21"/>
        <v>4.6000000000000005</v>
      </c>
      <c r="R48" s="7">
        <f t="shared" si="2"/>
        <v>0</v>
      </c>
      <c r="S48" s="7">
        <f>R48/$R$72</f>
        <v>0</v>
      </c>
      <c r="T48" s="16">
        <f t="shared" si="24"/>
        <v>0</v>
      </c>
      <c r="Z48" s="71">
        <f t="shared" si="20"/>
        <v>7.899999999999995</v>
      </c>
      <c r="AA48" s="51">
        <f t="shared" si="23"/>
        <v>0</v>
      </c>
      <c r="AB48" s="51">
        <f>AA48/$AA$49</f>
        <v>0</v>
      </c>
      <c r="AC48" s="54">
        <f>$N$4*AB46+$O$4*AB47+$P$4*AB48</f>
        <v>0</v>
      </c>
      <c r="AH48" s="15">
        <f t="shared" si="22"/>
        <v>4.6000000000000005</v>
      </c>
      <c r="AI48" s="7">
        <f t="shared" si="5"/>
        <v>3</v>
      </c>
      <c r="AJ48" s="7">
        <f>AI48/$R$72</f>
        <v>0.06</v>
      </c>
      <c r="AK48" s="16">
        <f t="shared" si="25"/>
        <v>8.4000000000000005E-2</v>
      </c>
    </row>
    <row r="49" spans="1:37" ht="15.75" thickBot="1" x14ac:dyDescent="0.3">
      <c r="A49" s="1">
        <v>38</v>
      </c>
      <c r="B49" s="5">
        <v>4.9000000000000004</v>
      </c>
      <c r="C49">
        <v>3.1</v>
      </c>
      <c r="D49">
        <v>1.5</v>
      </c>
      <c r="E49">
        <v>0.1</v>
      </c>
      <c r="F49" t="s">
        <v>5</v>
      </c>
      <c r="G49" s="35" t="s">
        <v>22</v>
      </c>
      <c r="I49" s="56" t="s">
        <v>13</v>
      </c>
      <c r="J49" s="57">
        <f>SUM(J12:J48)</f>
        <v>50</v>
      </c>
      <c r="K49" s="58">
        <f>SUM(K12:K48)</f>
        <v>1</v>
      </c>
      <c r="L49" s="8"/>
      <c r="Q49" s="15">
        <f t="shared" si="21"/>
        <v>4.7</v>
      </c>
      <c r="R49" s="7">
        <f t="shared" si="2"/>
        <v>0</v>
      </c>
      <c r="S49" s="7">
        <f>R49/$R$72</f>
        <v>0</v>
      </c>
      <c r="T49" s="16">
        <f t="shared" si="24"/>
        <v>0</v>
      </c>
      <c r="Z49" s="56" t="s">
        <v>13</v>
      </c>
      <c r="AA49" s="57">
        <f>SUM(AA12:AA48)</f>
        <v>50</v>
      </c>
      <c r="AB49" s="58">
        <f>SUM(AB12:AB48)</f>
        <v>1.0000000000000002</v>
      </c>
      <c r="AH49" s="15">
        <f t="shared" si="22"/>
        <v>4.7</v>
      </c>
      <c r="AI49" s="7">
        <f t="shared" si="5"/>
        <v>5</v>
      </c>
      <c r="AJ49" s="7">
        <f>AI49/$R$72</f>
        <v>0.1</v>
      </c>
      <c r="AK49" s="16">
        <f t="shared" si="25"/>
        <v>7.9000000000000015E-2</v>
      </c>
    </row>
    <row r="50" spans="1:37" x14ac:dyDescent="0.25">
      <c r="A50" s="1">
        <v>39</v>
      </c>
      <c r="B50" s="5">
        <v>4.4000000000000004</v>
      </c>
      <c r="C50">
        <v>3</v>
      </c>
      <c r="D50">
        <v>1.3</v>
      </c>
      <c r="E50">
        <v>0.2</v>
      </c>
      <c r="F50" t="s">
        <v>5</v>
      </c>
      <c r="G50" s="35" t="s">
        <v>22</v>
      </c>
      <c r="Q50" s="15">
        <f t="shared" si="21"/>
        <v>4.8</v>
      </c>
      <c r="R50" s="7">
        <f t="shared" si="2"/>
        <v>0</v>
      </c>
      <c r="S50" s="7">
        <f>R50/$R$72</f>
        <v>0</v>
      </c>
      <c r="T50" s="16">
        <f t="shared" si="24"/>
        <v>0</v>
      </c>
      <c r="AH50" s="15">
        <f t="shared" si="22"/>
        <v>4.8</v>
      </c>
      <c r="AI50" s="7">
        <f t="shared" si="5"/>
        <v>2</v>
      </c>
      <c r="AJ50" s="7">
        <f>AI50/$R$72</f>
        <v>0.04</v>
      </c>
      <c r="AK50" s="16">
        <f t="shared" si="25"/>
        <v>5.2000000000000005E-2</v>
      </c>
    </row>
    <row r="51" spans="1:37" x14ac:dyDescent="0.25">
      <c r="A51" s="1">
        <v>40</v>
      </c>
      <c r="B51" s="5">
        <v>5.0999999999999996</v>
      </c>
      <c r="C51">
        <v>3.4</v>
      </c>
      <c r="D51">
        <v>1.5</v>
      </c>
      <c r="E51">
        <v>0.2</v>
      </c>
      <c r="F51" t="s">
        <v>5</v>
      </c>
      <c r="G51" s="35" t="s">
        <v>22</v>
      </c>
      <c r="Q51" s="15">
        <f t="shared" si="21"/>
        <v>4.8999999999999995</v>
      </c>
      <c r="R51" s="7">
        <f t="shared" si="2"/>
        <v>0</v>
      </c>
      <c r="S51" s="7">
        <f>R51/$R$72</f>
        <v>0</v>
      </c>
      <c r="T51" s="16">
        <f t="shared" si="24"/>
        <v>0</v>
      </c>
      <c r="AH51" s="15">
        <f t="shared" si="22"/>
        <v>4.8999999999999995</v>
      </c>
      <c r="AI51" s="7">
        <f t="shared" si="5"/>
        <v>2</v>
      </c>
      <c r="AJ51" s="7">
        <f>AI51/$R$72</f>
        <v>0.04</v>
      </c>
      <c r="AK51" s="16">
        <f t="shared" si="25"/>
        <v>3.8000000000000006E-2</v>
      </c>
    </row>
    <row r="52" spans="1:37" x14ac:dyDescent="0.25">
      <c r="A52" s="1">
        <v>41</v>
      </c>
      <c r="B52" s="5">
        <v>5</v>
      </c>
      <c r="C52">
        <v>3.5</v>
      </c>
      <c r="D52">
        <v>1.3</v>
      </c>
      <c r="E52">
        <v>0.3</v>
      </c>
      <c r="F52" t="s">
        <v>5</v>
      </c>
      <c r="G52" s="35" t="s">
        <v>22</v>
      </c>
      <c r="Q52" s="15">
        <f t="shared" si="21"/>
        <v>4.9999999999999991</v>
      </c>
      <c r="R52" s="7">
        <f t="shared" si="2"/>
        <v>0</v>
      </c>
      <c r="S52" s="7">
        <f>R52/$R$72</f>
        <v>0</v>
      </c>
      <c r="T52" s="16">
        <f t="shared" si="24"/>
        <v>0</v>
      </c>
      <c r="AH52" s="15">
        <f t="shared" si="22"/>
        <v>4.9999999999999991</v>
      </c>
      <c r="AI52" s="7">
        <f t="shared" si="5"/>
        <v>1</v>
      </c>
      <c r="AJ52" s="7">
        <f>AI52/$R$72</f>
        <v>0.02</v>
      </c>
      <c r="AK52" s="16">
        <f t="shared" si="25"/>
        <v>2.4E-2</v>
      </c>
    </row>
    <row r="53" spans="1:37" x14ac:dyDescent="0.25">
      <c r="A53" s="1">
        <v>42</v>
      </c>
      <c r="B53" s="5">
        <v>4.5</v>
      </c>
      <c r="C53">
        <v>2.2999999999999998</v>
      </c>
      <c r="D53">
        <v>1.3</v>
      </c>
      <c r="E53">
        <v>0.3</v>
      </c>
      <c r="F53" t="s">
        <v>5</v>
      </c>
      <c r="G53" s="35" t="s">
        <v>22</v>
      </c>
      <c r="Q53" s="15">
        <f t="shared" si="21"/>
        <v>5.0999999999999988</v>
      </c>
      <c r="R53" s="7">
        <f t="shared" si="2"/>
        <v>0</v>
      </c>
      <c r="S53" s="7">
        <f>R53/$R$72</f>
        <v>0</v>
      </c>
      <c r="T53" s="16">
        <f t="shared" si="24"/>
        <v>0</v>
      </c>
      <c r="AH53" s="15">
        <f t="shared" si="22"/>
        <v>5.0999999999999988</v>
      </c>
      <c r="AI53" s="7">
        <f t="shared" si="5"/>
        <v>1</v>
      </c>
      <c r="AJ53" s="7">
        <f>AI53/$R$72</f>
        <v>0.02</v>
      </c>
      <c r="AK53" s="16">
        <f t="shared" si="25"/>
        <v>1.6E-2</v>
      </c>
    </row>
    <row r="54" spans="1:37" x14ac:dyDescent="0.25">
      <c r="A54" s="1">
        <v>43</v>
      </c>
      <c r="B54" s="5">
        <v>4.4000000000000004</v>
      </c>
      <c r="C54">
        <v>3.2</v>
      </c>
      <c r="D54">
        <v>1.3</v>
      </c>
      <c r="E54">
        <v>0.2</v>
      </c>
      <c r="F54" t="s">
        <v>5</v>
      </c>
      <c r="G54" s="35" t="s">
        <v>22</v>
      </c>
      <c r="Q54" s="15">
        <f t="shared" si="21"/>
        <v>5.1999999999999984</v>
      </c>
      <c r="R54" s="7">
        <f t="shared" si="2"/>
        <v>0</v>
      </c>
      <c r="S54" s="7">
        <f>R54/$R$72</f>
        <v>0</v>
      </c>
      <c r="T54" s="16">
        <f t="shared" si="24"/>
        <v>0</v>
      </c>
      <c r="AH54" s="15">
        <f t="shared" si="22"/>
        <v>5.1999999999999984</v>
      </c>
      <c r="AI54" s="7">
        <f t="shared" si="5"/>
        <v>0</v>
      </c>
      <c r="AJ54" s="7">
        <f>AI54/$R$72</f>
        <v>0</v>
      </c>
      <c r="AK54" s="16">
        <f t="shared" si="25"/>
        <v>5.0000000000000001E-3</v>
      </c>
    </row>
    <row r="55" spans="1:37" x14ac:dyDescent="0.25">
      <c r="A55" s="1">
        <v>44</v>
      </c>
      <c r="B55" s="5">
        <v>5</v>
      </c>
      <c r="C55">
        <v>3.5</v>
      </c>
      <c r="D55">
        <v>1.6</v>
      </c>
      <c r="E55">
        <v>0.6</v>
      </c>
      <c r="F55" t="s">
        <v>5</v>
      </c>
      <c r="G55" s="35" t="s">
        <v>22</v>
      </c>
      <c r="Q55" s="15">
        <f t="shared" si="21"/>
        <v>5.299999999999998</v>
      </c>
      <c r="R55" s="7">
        <f t="shared" si="2"/>
        <v>0</v>
      </c>
      <c r="S55" s="7">
        <f>R55/$R$72</f>
        <v>0</v>
      </c>
      <c r="T55" s="16">
        <f t="shared" si="24"/>
        <v>0</v>
      </c>
      <c r="AH55" s="15">
        <f t="shared" si="22"/>
        <v>5.299999999999998</v>
      </c>
      <c r="AI55" s="7">
        <f t="shared" si="5"/>
        <v>0</v>
      </c>
      <c r="AJ55" s="7">
        <f>AI55/$R$72</f>
        <v>0</v>
      </c>
      <c r="AK55" s="16">
        <f t="shared" si="25"/>
        <v>1E-3</v>
      </c>
    </row>
    <row r="56" spans="1:37" x14ac:dyDescent="0.25">
      <c r="A56" s="1">
        <v>45</v>
      </c>
      <c r="B56" s="5">
        <v>5.0999999999999996</v>
      </c>
      <c r="C56">
        <v>3.8</v>
      </c>
      <c r="D56">
        <v>1.9</v>
      </c>
      <c r="E56">
        <v>0.4</v>
      </c>
      <c r="F56" t="s">
        <v>5</v>
      </c>
      <c r="G56" s="35" t="s">
        <v>22</v>
      </c>
      <c r="Q56" s="15">
        <f t="shared" si="21"/>
        <v>5.3999999999999977</v>
      </c>
      <c r="R56" s="7">
        <f t="shared" si="2"/>
        <v>0</v>
      </c>
      <c r="S56" s="7">
        <f>R56/$R$72</f>
        <v>0</v>
      </c>
      <c r="T56" s="16">
        <f t="shared" si="24"/>
        <v>0</v>
      </c>
      <c r="AH56" s="15">
        <f t="shared" si="22"/>
        <v>5.3999999999999977</v>
      </c>
      <c r="AI56" s="7">
        <f t="shared" si="5"/>
        <v>0</v>
      </c>
      <c r="AJ56" s="7">
        <f>AI56/$R$72</f>
        <v>0</v>
      </c>
      <c r="AK56" s="16">
        <f t="shared" si="25"/>
        <v>0</v>
      </c>
    </row>
    <row r="57" spans="1:37" x14ac:dyDescent="0.25">
      <c r="A57" s="1">
        <v>46</v>
      </c>
      <c r="B57" s="5">
        <v>4.8</v>
      </c>
      <c r="C57">
        <v>3</v>
      </c>
      <c r="D57">
        <v>1.4</v>
      </c>
      <c r="E57">
        <v>0.3</v>
      </c>
      <c r="F57" t="s">
        <v>5</v>
      </c>
      <c r="G57" s="35" t="s">
        <v>22</v>
      </c>
      <c r="Q57" s="15">
        <f t="shared" si="21"/>
        <v>5.4999999999999973</v>
      </c>
      <c r="R57" s="7">
        <f t="shared" si="2"/>
        <v>0</v>
      </c>
      <c r="S57" s="7">
        <f>R57/$R$72</f>
        <v>0</v>
      </c>
      <c r="T57" s="16">
        <f t="shared" si="24"/>
        <v>0</v>
      </c>
      <c r="AH57" s="15">
        <f t="shared" si="22"/>
        <v>5.4999999999999973</v>
      </c>
      <c r="AI57" s="7">
        <f t="shared" si="5"/>
        <v>0</v>
      </c>
      <c r="AJ57" s="7">
        <f>AI57/$R$72</f>
        <v>0</v>
      </c>
      <c r="AK57" s="16">
        <f t="shared" si="25"/>
        <v>0</v>
      </c>
    </row>
    <row r="58" spans="1:37" x14ac:dyDescent="0.25">
      <c r="A58" s="1">
        <v>47</v>
      </c>
      <c r="B58" s="5">
        <v>5.0999999999999996</v>
      </c>
      <c r="C58">
        <v>3.8</v>
      </c>
      <c r="D58">
        <v>1.6</v>
      </c>
      <c r="E58">
        <v>0.2</v>
      </c>
      <c r="F58" t="s">
        <v>5</v>
      </c>
      <c r="G58" s="35" t="s">
        <v>22</v>
      </c>
      <c r="Q58" s="15">
        <f t="shared" si="21"/>
        <v>5.599999999999997</v>
      </c>
      <c r="R58" s="7">
        <f t="shared" si="2"/>
        <v>0</v>
      </c>
      <c r="S58" s="7">
        <f>R58/$R$72</f>
        <v>0</v>
      </c>
      <c r="T58" s="16">
        <f t="shared" si="24"/>
        <v>0</v>
      </c>
      <c r="AH58" s="15">
        <f t="shared" si="22"/>
        <v>5.599999999999997</v>
      </c>
      <c r="AI58" s="7">
        <f t="shared" si="5"/>
        <v>0</v>
      </c>
      <c r="AJ58" s="7">
        <f>AI58/$R$72</f>
        <v>0</v>
      </c>
      <c r="AK58" s="16">
        <f t="shared" si="25"/>
        <v>0</v>
      </c>
    </row>
    <row r="59" spans="1:37" x14ac:dyDescent="0.25">
      <c r="A59" s="1">
        <v>48</v>
      </c>
      <c r="B59" s="5">
        <v>4.5999999999999996</v>
      </c>
      <c r="C59">
        <v>3.2</v>
      </c>
      <c r="D59">
        <v>1.4</v>
      </c>
      <c r="E59">
        <v>0.2</v>
      </c>
      <c r="F59" t="s">
        <v>5</v>
      </c>
      <c r="G59" s="35" t="s">
        <v>22</v>
      </c>
      <c r="Q59" s="15">
        <f t="shared" si="21"/>
        <v>5.6999999999999966</v>
      </c>
      <c r="R59" s="7">
        <f t="shared" si="2"/>
        <v>0</v>
      </c>
      <c r="S59" s="7">
        <f>R59/$R$72</f>
        <v>0</v>
      </c>
      <c r="T59" s="16">
        <f t="shared" si="24"/>
        <v>0</v>
      </c>
      <c r="AH59" s="15">
        <f t="shared" si="22"/>
        <v>5.6999999999999966</v>
      </c>
      <c r="AI59" s="7">
        <f t="shared" si="5"/>
        <v>0</v>
      </c>
      <c r="AJ59" s="7">
        <f>AI59/$R$72</f>
        <v>0</v>
      </c>
      <c r="AK59" s="16">
        <f t="shared" si="25"/>
        <v>0</v>
      </c>
    </row>
    <row r="60" spans="1:37" x14ac:dyDescent="0.25">
      <c r="A60" s="1">
        <v>49</v>
      </c>
      <c r="B60" s="5">
        <v>5.3</v>
      </c>
      <c r="C60">
        <v>3.7</v>
      </c>
      <c r="D60">
        <v>1.5</v>
      </c>
      <c r="E60">
        <v>0.2</v>
      </c>
      <c r="F60" t="s">
        <v>5</v>
      </c>
      <c r="G60" s="35" t="s">
        <v>22</v>
      </c>
      <c r="Q60" s="15">
        <f t="shared" si="21"/>
        <v>5.7999999999999963</v>
      </c>
      <c r="R60" s="7">
        <f t="shared" si="2"/>
        <v>0</v>
      </c>
      <c r="S60" s="7">
        <f>R60/$R$72</f>
        <v>0</v>
      </c>
      <c r="T60" s="16">
        <f t="shared" si="24"/>
        <v>0</v>
      </c>
      <c r="AH60" s="15">
        <f t="shared" si="22"/>
        <v>5.7999999999999963</v>
      </c>
      <c r="AI60" s="7">
        <f t="shared" si="5"/>
        <v>0</v>
      </c>
      <c r="AJ60" s="7">
        <f>AI60/$R$72</f>
        <v>0</v>
      </c>
      <c r="AK60" s="16">
        <f t="shared" si="25"/>
        <v>0</v>
      </c>
    </row>
    <row r="61" spans="1:37" x14ac:dyDescent="0.25">
      <c r="A61" s="1">
        <v>50</v>
      </c>
      <c r="B61" s="9">
        <v>5</v>
      </c>
      <c r="C61" s="10">
        <v>3.3</v>
      </c>
      <c r="D61" s="10">
        <v>1.4</v>
      </c>
      <c r="E61" s="10">
        <v>0.2</v>
      </c>
      <c r="F61" s="10" t="s">
        <v>5</v>
      </c>
      <c r="G61" s="36" t="s">
        <v>22</v>
      </c>
      <c r="Q61" s="15">
        <f t="shared" si="21"/>
        <v>5.8999999999999959</v>
      </c>
      <c r="R61" s="7">
        <f t="shared" si="2"/>
        <v>0</v>
      </c>
      <c r="S61" s="7">
        <f>R61/$R$72</f>
        <v>0</v>
      </c>
      <c r="T61" s="16">
        <f t="shared" si="24"/>
        <v>0</v>
      </c>
      <c r="AH61" s="15">
        <f t="shared" si="22"/>
        <v>5.8999999999999959</v>
      </c>
      <c r="AI61" s="7">
        <f t="shared" si="5"/>
        <v>0</v>
      </c>
      <c r="AJ61" s="7">
        <f>AI61/$R$72</f>
        <v>0</v>
      </c>
      <c r="AK61" s="16">
        <f t="shared" si="25"/>
        <v>0</v>
      </c>
    </row>
    <row r="62" spans="1:37" x14ac:dyDescent="0.25">
      <c r="A62" s="1">
        <v>51</v>
      </c>
      <c r="B62" s="5">
        <v>7</v>
      </c>
      <c r="C62">
        <v>3.2</v>
      </c>
      <c r="D62">
        <v>4.7</v>
      </c>
      <c r="E62">
        <v>1.4</v>
      </c>
      <c r="F62" t="s">
        <v>6</v>
      </c>
      <c r="G62" s="35" t="s">
        <v>23</v>
      </c>
      <c r="Q62" s="15">
        <f t="shared" si="21"/>
        <v>5.9999999999999956</v>
      </c>
      <c r="R62" s="7">
        <f t="shared" si="2"/>
        <v>0</v>
      </c>
      <c r="S62" s="7">
        <f>R62/$R$72</f>
        <v>0</v>
      </c>
      <c r="T62" s="16">
        <f t="shared" si="24"/>
        <v>0</v>
      </c>
      <c r="AH62" s="15">
        <f t="shared" si="22"/>
        <v>5.9999999999999956</v>
      </c>
      <c r="AI62" s="7">
        <f t="shared" si="5"/>
        <v>0</v>
      </c>
      <c r="AJ62" s="7">
        <f>AI62/$R$72</f>
        <v>0</v>
      </c>
      <c r="AK62" s="16">
        <f t="shared" si="25"/>
        <v>0</v>
      </c>
    </row>
    <row r="63" spans="1:37" x14ac:dyDescent="0.25">
      <c r="A63" s="1">
        <v>52</v>
      </c>
      <c r="B63" s="5">
        <v>6.4</v>
      </c>
      <c r="C63">
        <v>3.2</v>
      </c>
      <c r="D63">
        <v>4.5</v>
      </c>
      <c r="E63">
        <v>1.5</v>
      </c>
      <c r="F63" t="s">
        <v>6</v>
      </c>
      <c r="G63" s="35" t="s">
        <v>23</v>
      </c>
      <c r="Q63" s="15">
        <f t="shared" si="21"/>
        <v>6.0999999999999952</v>
      </c>
      <c r="R63" s="7">
        <f t="shared" si="2"/>
        <v>0</v>
      </c>
      <c r="S63" s="7">
        <f>R63/$R$72</f>
        <v>0</v>
      </c>
      <c r="T63" s="16">
        <f t="shared" si="24"/>
        <v>0</v>
      </c>
      <c r="AH63" s="15">
        <f t="shared" si="22"/>
        <v>6.0999999999999952</v>
      </c>
      <c r="AI63" s="7">
        <f t="shared" si="5"/>
        <v>0</v>
      </c>
      <c r="AJ63" s="7">
        <f>AI63/$R$72</f>
        <v>0</v>
      </c>
      <c r="AK63" s="16">
        <f t="shared" si="25"/>
        <v>0</v>
      </c>
    </row>
    <row r="64" spans="1:37" x14ac:dyDescent="0.25">
      <c r="A64" s="1">
        <v>53</v>
      </c>
      <c r="B64" s="5">
        <v>6.9</v>
      </c>
      <c r="C64">
        <v>3.1</v>
      </c>
      <c r="D64">
        <v>4.9000000000000004</v>
      </c>
      <c r="E64">
        <v>1.5</v>
      </c>
      <c r="F64" t="s">
        <v>6</v>
      </c>
      <c r="G64" s="35" t="s">
        <v>23</v>
      </c>
      <c r="Q64" s="15">
        <f t="shared" si="21"/>
        <v>6.1999999999999948</v>
      </c>
      <c r="R64" s="7">
        <f t="shared" si="2"/>
        <v>0</v>
      </c>
      <c r="S64" s="7">
        <f>R64/$R$72</f>
        <v>0</v>
      </c>
      <c r="T64" s="16">
        <f t="shared" si="24"/>
        <v>0</v>
      </c>
      <c r="AH64" s="15">
        <f t="shared" si="22"/>
        <v>6.1999999999999948</v>
      </c>
      <c r="AI64" s="7">
        <f t="shared" si="5"/>
        <v>0</v>
      </c>
      <c r="AJ64" s="7">
        <f>AI64/$R$72</f>
        <v>0</v>
      </c>
      <c r="AK64" s="16">
        <f t="shared" si="25"/>
        <v>0</v>
      </c>
    </row>
    <row r="65" spans="1:37" x14ac:dyDescent="0.25">
      <c r="A65" s="1">
        <v>54</v>
      </c>
      <c r="B65" s="5">
        <v>5.5</v>
      </c>
      <c r="C65">
        <v>2.2999999999999998</v>
      </c>
      <c r="D65">
        <v>4</v>
      </c>
      <c r="E65">
        <v>1.3</v>
      </c>
      <c r="F65" t="s">
        <v>6</v>
      </c>
      <c r="G65" s="35" t="s">
        <v>23</v>
      </c>
      <c r="Q65" s="15">
        <f t="shared" si="21"/>
        <v>6.2999999999999945</v>
      </c>
      <c r="R65" s="7">
        <f t="shared" si="2"/>
        <v>0</v>
      </c>
      <c r="S65" s="7">
        <f>R65/$R$72</f>
        <v>0</v>
      </c>
      <c r="T65" s="16">
        <f t="shared" si="24"/>
        <v>0</v>
      </c>
      <c r="AH65" s="15">
        <f t="shared" si="22"/>
        <v>6.2999999999999945</v>
      </c>
      <c r="AI65" s="7">
        <f t="shared" si="5"/>
        <v>0</v>
      </c>
      <c r="AJ65" s="7">
        <f>AI65/$R$72</f>
        <v>0</v>
      </c>
      <c r="AK65" s="16">
        <f t="shared" si="25"/>
        <v>0</v>
      </c>
    </row>
    <row r="66" spans="1:37" x14ac:dyDescent="0.25">
      <c r="A66" s="1">
        <v>55</v>
      </c>
      <c r="B66" s="5">
        <v>6.5</v>
      </c>
      <c r="C66">
        <v>2.8</v>
      </c>
      <c r="D66">
        <v>4.5999999999999996</v>
      </c>
      <c r="E66">
        <v>1.5</v>
      </c>
      <c r="F66" t="s">
        <v>6</v>
      </c>
      <c r="G66" s="35" t="s">
        <v>23</v>
      </c>
      <c r="Q66" s="15">
        <f t="shared" si="21"/>
        <v>6.3999999999999941</v>
      </c>
      <c r="R66" s="7">
        <f t="shared" si="2"/>
        <v>0</v>
      </c>
      <c r="S66" s="7">
        <f>R66/$R$72</f>
        <v>0</v>
      </c>
      <c r="T66" s="16">
        <f t="shared" si="24"/>
        <v>0</v>
      </c>
      <c r="AH66" s="15">
        <f t="shared" si="22"/>
        <v>6.3999999999999941</v>
      </c>
      <c r="AI66" s="7">
        <f t="shared" si="5"/>
        <v>0</v>
      </c>
      <c r="AJ66" s="7">
        <f>AI66/$R$72</f>
        <v>0</v>
      </c>
      <c r="AK66" s="16">
        <f t="shared" si="25"/>
        <v>0</v>
      </c>
    </row>
    <row r="67" spans="1:37" x14ac:dyDescent="0.25">
      <c r="A67" s="1">
        <v>56</v>
      </c>
      <c r="B67" s="5">
        <v>5.7</v>
      </c>
      <c r="C67">
        <v>2.8</v>
      </c>
      <c r="D67">
        <v>4.5</v>
      </c>
      <c r="E67">
        <v>1.3</v>
      </c>
      <c r="F67" t="s">
        <v>6</v>
      </c>
      <c r="G67" s="35" t="s">
        <v>23</v>
      </c>
      <c r="Q67" s="15">
        <f t="shared" si="21"/>
        <v>6.4999999999999938</v>
      </c>
      <c r="R67" s="7">
        <f t="shared" si="2"/>
        <v>0</v>
      </c>
      <c r="S67" s="7">
        <f>R67/$R$72</f>
        <v>0</v>
      </c>
      <c r="T67" s="16">
        <f t="shared" si="24"/>
        <v>0</v>
      </c>
      <c r="AH67" s="15">
        <f t="shared" si="22"/>
        <v>6.4999999999999938</v>
      </c>
      <c r="AI67" s="7">
        <f t="shared" si="5"/>
        <v>0</v>
      </c>
      <c r="AJ67" s="7">
        <f>AI67/$R$72</f>
        <v>0</v>
      </c>
      <c r="AK67" s="16">
        <f t="shared" si="25"/>
        <v>0</v>
      </c>
    </row>
    <row r="68" spans="1:37" x14ac:dyDescent="0.25">
      <c r="A68" s="1">
        <v>57</v>
      </c>
      <c r="B68" s="5">
        <v>6.3</v>
      </c>
      <c r="C68">
        <v>3.3</v>
      </c>
      <c r="D68">
        <v>4.7</v>
      </c>
      <c r="E68">
        <v>1.6</v>
      </c>
      <c r="F68" t="s">
        <v>6</v>
      </c>
      <c r="G68" s="35" t="s">
        <v>23</v>
      </c>
      <c r="Q68" s="15">
        <f t="shared" si="21"/>
        <v>6.5999999999999934</v>
      </c>
      <c r="R68" s="7">
        <f t="shared" si="2"/>
        <v>0</v>
      </c>
      <c r="S68" s="7">
        <f>R68/$R$72</f>
        <v>0</v>
      </c>
      <c r="T68" s="16">
        <f t="shared" si="24"/>
        <v>0</v>
      </c>
      <c r="AH68" s="15">
        <f t="shared" si="22"/>
        <v>6.5999999999999934</v>
      </c>
      <c r="AI68" s="7">
        <f t="shared" si="5"/>
        <v>0</v>
      </c>
      <c r="AJ68" s="7">
        <f>AI68/$R$72</f>
        <v>0</v>
      </c>
      <c r="AK68" s="16">
        <f t="shared" si="25"/>
        <v>0</v>
      </c>
    </row>
    <row r="69" spans="1:37" x14ac:dyDescent="0.25">
      <c r="A69" s="1">
        <v>58</v>
      </c>
      <c r="B69" s="5">
        <v>4.9000000000000004</v>
      </c>
      <c r="C69">
        <v>2.4</v>
      </c>
      <c r="D69">
        <v>3.3</v>
      </c>
      <c r="E69">
        <v>1</v>
      </c>
      <c r="F69" t="s">
        <v>6</v>
      </c>
      <c r="G69" s="35" t="s">
        <v>23</v>
      </c>
      <c r="Q69" s="15">
        <f t="shared" si="21"/>
        <v>6.6999999999999931</v>
      </c>
      <c r="R69" s="7">
        <f t="shared" si="2"/>
        <v>0</v>
      </c>
      <c r="S69" s="7">
        <f>R69/$R$72</f>
        <v>0</v>
      </c>
      <c r="T69" s="16">
        <f t="shared" si="24"/>
        <v>0</v>
      </c>
      <c r="AH69" s="15">
        <f t="shared" si="22"/>
        <v>6.6999999999999931</v>
      </c>
      <c r="AI69" s="7">
        <f t="shared" si="5"/>
        <v>0</v>
      </c>
      <c r="AJ69" s="7">
        <f>AI69/$R$72</f>
        <v>0</v>
      </c>
      <c r="AK69" s="16">
        <f t="shared" si="25"/>
        <v>0</v>
      </c>
    </row>
    <row r="70" spans="1:37" x14ac:dyDescent="0.25">
      <c r="A70" s="1">
        <v>59</v>
      </c>
      <c r="B70" s="5">
        <v>6.6</v>
      </c>
      <c r="C70">
        <v>2.9</v>
      </c>
      <c r="D70">
        <v>4.5999999999999996</v>
      </c>
      <c r="E70">
        <v>1.3</v>
      </c>
      <c r="F70" t="s">
        <v>6</v>
      </c>
      <c r="G70" s="35" t="s">
        <v>23</v>
      </c>
      <c r="Q70" s="15">
        <f t="shared" si="21"/>
        <v>6.7999999999999927</v>
      </c>
      <c r="R70" s="7">
        <f t="shared" si="2"/>
        <v>0</v>
      </c>
      <c r="S70" s="7">
        <f>R70/$R$72</f>
        <v>0</v>
      </c>
      <c r="T70" s="16">
        <f>$N$4*S68+$O$4*S69+$P$4*S70+$Q$4*S71</f>
        <v>0</v>
      </c>
      <c r="AH70" s="15">
        <f t="shared" si="22"/>
        <v>6.7999999999999927</v>
      </c>
      <c r="AI70" s="7">
        <f t="shared" si="5"/>
        <v>0</v>
      </c>
      <c r="AJ70" s="7">
        <f>AI70/$R$72</f>
        <v>0</v>
      </c>
      <c r="AK70" s="16">
        <f>$N$4*AJ68+$O$4*AJ69+$P$4*AJ70+$Q$4*AJ71</f>
        <v>0</v>
      </c>
    </row>
    <row r="71" spans="1:37" ht="15.75" thickBot="1" x14ac:dyDescent="0.3">
      <c r="A71" s="1">
        <v>60</v>
      </c>
      <c r="B71" s="5">
        <v>5.2</v>
      </c>
      <c r="C71">
        <v>2.7</v>
      </c>
      <c r="D71">
        <v>3.9</v>
      </c>
      <c r="E71">
        <v>1.4</v>
      </c>
      <c r="F71" t="s">
        <v>6</v>
      </c>
      <c r="G71" s="35" t="s">
        <v>23</v>
      </c>
      <c r="Q71" s="67">
        <f t="shared" si="21"/>
        <v>6.8999999999999924</v>
      </c>
      <c r="R71" s="51">
        <f t="shared" si="2"/>
        <v>0</v>
      </c>
      <c r="S71" s="51">
        <f>R71/$R$72</f>
        <v>0</v>
      </c>
      <c r="T71" s="54">
        <f>$N$4*S69+$O$4*S70+$P$4*S71</f>
        <v>0</v>
      </c>
      <c r="AH71" s="67">
        <f t="shared" si="22"/>
        <v>6.8999999999999924</v>
      </c>
      <c r="AI71" s="51">
        <f t="shared" si="5"/>
        <v>0</v>
      </c>
      <c r="AJ71" s="51">
        <f>AI71/$R$72</f>
        <v>0</v>
      </c>
      <c r="AK71" s="54">
        <f>$N$4*AJ69+$O$4*AJ70+$P$4*AJ71</f>
        <v>0</v>
      </c>
    </row>
    <row r="72" spans="1:37" ht="15.75" thickBot="1" x14ac:dyDescent="0.3">
      <c r="A72" s="1">
        <v>61</v>
      </c>
      <c r="B72" s="5">
        <v>5</v>
      </c>
      <c r="C72">
        <v>2</v>
      </c>
      <c r="D72">
        <v>3.5</v>
      </c>
      <c r="E72">
        <v>1</v>
      </c>
      <c r="F72" t="s">
        <v>6</v>
      </c>
      <c r="G72" s="35" t="s">
        <v>23</v>
      </c>
      <c r="Q72" s="56" t="s">
        <v>13</v>
      </c>
      <c r="R72" s="57">
        <f>SUM(R12:R71)</f>
        <v>50</v>
      </c>
      <c r="S72" s="58">
        <f>SUM(S12:S71)</f>
        <v>1</v>
      </c>
      <c r="T72" s="8"/>
      <c r="AH72" s="56" t="s">
        <v>13</v>
      </c>
      <c r="AI72" s="57">
        <f>SUM(AI12:AI71)</f>
        <v>50</v>
      </c>
      <c r="AJ72" s="58">
        <f>SUM(AJ12:AJ71)</f>
        <v>1</v>
      </c>
    </row>
    <row r="73" spans="1:37" ht="15.75" thickBot="1" x14ac:dyDescent="0.3">
      <c r="A73" s="1">
        <v>62</v>
      </c>
      <c r="B73" s="5">
        <v>5.9</v>
      </c>
      <c r="C73">
        <v>3</v>
      </c>
      <c r="D73">
        <v>4.2</v>
      </c>
      <c r="E73">
        <v>1.5</v>
      </c>
      <c r="F73" t="s">
        <v>6</v>
      </c>
      <c r="G73" s="35" t="s">
        <v>23</v>
      </c>
    </row>
    <row r="74" spans="1:37" ht="15.75" thickBot="1" x14ac:dyDescent="0.3">
      <c r="A74" s="1">
        <v>63</v>
      </c>
      <c r="B74" s="5">
        <v>6</v>
      </c>
      <c r="C74">
        <v>2.2000000000000002</v>
      </c>
      <c r="D74">
        <v>4</v>
      </c>
      <c r="E74">
        <v>1</v>
      </c>
      <c r="F74" t="s">
        <v>6</v>
      </c>
      <c r="G74" s="35" t="s">
        <v>23</v>
      </c>
      <c r="I74" s="22" t="s">
        <v>20</v>
      </c>
      <c r="J74" s="17" t="s">
        <v>0</v>
      </c>
      <c r="K74" s="17" t="s">
        <v>1</v>
      </c>
      <c r="L74" s="17" t="s">
        <v>2</v>
      </c>
      <c r="M74" s="18" t="s">
        <v>3</v>
      </c>
      <c r="N74" s="27" t="s">
        <v>25</v>
      </c>
    </row>
    <row r="75" spans="1:37" ht="15.75" thickBot="1" x14ac:dyDescent="0.3">
      <c r="A75" s="1">
        <v>64</v>
      </c>
      <c r="B75" s="5">
        <v>6.1</v>
      </c>
      <c r="C75">
        <v>2.9</v>
      </c>
      <c r="D75">
        <v>4.7</v>
      </c>
      <c r="E75">
        <v>1.4</v>
      </c>
      <c r="F75" t="s">
        <v>6</v>
      </c>
      <c r="G75" s="35" t="s">
        <v>23</v>
      </c>
      <c r="I75" s="19" t="s">
        <v>9</v>
      </c>
      <c r="J75" s="12">
        <f>MIN(B112:B161)</f>
        <v>4.9000000000000004</v>
      </c>
      <c r="K75" s="12">
        <f>MIN(C112:C161)</f>
        <v>2.2000000000000002</v>
      </c>
      <c r="L75" s="12">
        <f>MIN(D112:D161)</f>
        <v>4.5</v>
      </c>
      <c r="M75" s="23">
        <f>MIN(E112:E161)</f>
        <v>1.4</v>
      </c>
      <c r="N75" s="28">
        <f>COUNTIF(F12:F161,F112)/150</f>
        <v>0.33333333333333331</v>
      </c>
    </row>
    <row r="76" spans="1:37" ht="15.75" thickBot="1" x14ac:dyDescent="0.3">
      <c r="A76" s="1">
        <v>65</v>
      </c>
      <c r="B76" s="5">
        <v>5.6</v>
      </c>
      <c r="C76">
        <v>2.9</v>
      </c>
      <c r="D76">
        <v>3.6</v>
      </c>
      <c r="E76">
        <v>1.3</v>
      </c>
      <c r="F76" t="s">
        <v>6</v>
      </c>
      <c r="G76" s="35" t="s">
        <v>23</v>
      </c>
      <c r="I76" s="21" t="s">
        <v>11</v>
      </c>
      <c r="J76" s="24">
        <f>MAX(B112:B161)</f>
        <v>7.9</v>
      </c>
      <c r="K76" s="24">
        <f>MAX(C112:C161)</f>
        <v>3.8</v>
      </c>
      <c r="L76" s="24">
        <f>MAX(D112:D161)</f>
        <v>6.9</v>
      </c>
      <c r="M76" s="25">
        <f>MAX(E112:E161)</f>
        <v>2.5</v>
      </c>
    </row>
    <row r="77" spans="1:37" x14ac:dyDescent="0.25">
      <c r="A77" s="1">
        <v>66</v>
      </c>
      <c r="B77" s="5">
        <v>6.7</v>
      </c>
      <c r="C77">
        <v>3.1</v>
      </c>
      <c r="D77">
        <v>4.4000000000000004</v>
      </c>
      <c r="E77">
        <v>1.4</v>
      </c>
      <c r="F77" t="s">
        <v>6</v>
      </c>
      <c r="G77" s="35" t="s">
        <v>23</v>
      </c>
      <c r="I77" s="63" t="s">
        <v>0</v>
      </c>
      <c r="J77" s="64"/>
      <c r="K77" s="64"/>
      <c r="L77" s="65"/>
      <c r="M77" s="64" t="s">
        <v>1</v>
      </c>
      <c r="N77" s="64"/>
      <c r="O77" s="64"/>
      <c r="P77" s="65"/>
      <c r="Q77" s="63" t="s">
        <v>2</v>
      </c>
      <c r="R77" s="64"/>
      <c r="S77" s="64"/>
      <c r="T77" s="65"/>
      <c r="U77" s="63" t="s">
        <v>3</v>
      </c>
      <c r="V77" s="64"/>
      <c r="W77" s="64"/>
      <c r="X77" s="65"/>
    </row>
    <row r="78" spans="1:37" ht="15.75" thickBot="1" x14ac:dyDescent="0.3">
      <c r="A78" s="1">
        <v>67</v>
      </c>
      <c r="B78" s="5">
        <v>5.6</v>
      </c>
      <c r="C78">
        <v>3</v>
      </c>
      <c r="D78">
        <v>4.5</v>
      </c>
      <c r="E78">
        <v>1.5</v>
      </c>
      <c r="F78" t="s">
        <v>6</v>
      </c>
      <c r="G78" s="35" t="s">
        <v>23</v>
      </c>
      <c r="I78" s="49" t="s">
        <v>14</v>
      </c>
      <c r="J78" s="50" t="s">
        <v>16</v>
      </c>
      <c r="K78" s="50" t="s">
        <v>12</v>
      </c>
      <c r="L78" s="66" t="s">
        <v>29</v>
      </c>
      <c r="M78" s="53" t="s">
        <v>15</v>
      </c>
      <c r="N78" s="50" t="s">
        <v>16</v>
      </c>
      <c r="O78" s="50" t="s">
        <v>12</v>
      </c>
      <c r="P78" s="66" t="s">
        <v>29</v>
      </c>
      <c r="Q78" s="49" t="s">
        <v>17</v>
      </c>
      <c r="R78" s="50" t="s">
        <v>16</v>
      </c>
      <c r="S78" s="50" t="s">
        <v>12</v>
      </c>
      <c r="T78" s="66" t="s">
        <v>29</v>
      </c>
      <c r="U78" s="49" t="s">
        <v>18</v>
      </c>
      <c r="V78" s="50" t="s">
        <v>16</v>
      </c>
      <c r="W78" s="50" t="s">
        <v>12</v>
      </c>
      <c r="X78" s="66" t="s">
        <v>29</v>
      </c>
    </row>
    <row r="79" spans="1:37" x14ac:dyDescent="0.25">
      <c r="A79" s="1">
        <v>68</v>
      </c>
      <c r="B79" s="5">
        <v>5.8</v>
      </c>
      <c r="C79">
        <v>2.7</v>
      </c>
      <c r="D79">
        <v>4.0999999999999996</v>
      </c>
      <c r="E79">
        <v>1</v>
      </c>
      <c r="F79" t="s">
        <v>6</v>
      </c>
      <c r="G79" s="35" t="s">
        <v>23</v>
      </c>
      <c r="I79" s="44">
        <f>J8</f>
        <v>4.3</v>
      </c>
      <c r="J79" s="42">
        <f t="shared" ref="J79:J84" si="26">COUNTIF($B$112:$B$161,I79)</f>
        <v>0</v>
      </c>
      <c r="K79" s="42">
        <f>J79/$AA$49</f>
        <v>0</v>
      </c>
      <c r="L79" s="46">
        <f>$P$4*K79+$Q$4*K80+$R$4*K81</f>
        <v>0</v>
      </c>
      <c r="M79" s="43">
        <f>AB8</f>
        <v>2</v>
      </c>
      <c r="N79" s="40">
        <f t="shared" ref="N79:N103" si="27">COUNTIF($C$112:$C$161,M79)</f>
        <v>0</v>
      </c>
      <c r="O79" s="40">
        <f>N79/$AA$49</f>
        <v>0</v>
      </c>
      <c r="P79" s="60">
        <f>$P$4*O79+$Q$4*O80+$R$4*O81</f>
        <v>1E-3</v>
      </c>
      <c r="Q79" s="39">
        <f>L8</f>
        <v>1</v>
      </c>
      <c r="R79" s="40">
        <f>COUNTIF($D$112:$D$161,Q79)</f>
        <v>0</v>
      </c>
      <c r="S79" s="40">
        <f>R79/$R$72</f>
        <v>0</v>
      </c>
      <c r="T79" s="41">
        <f>$P$4*S79+$Q$4*S80+$R$4*S81</f>
        <v>0</v>
      </c>
      <c r="U79" s="39">
        <f>M8</f>
        <v>0.1</v>
      </c>
      <c r="V79" s="40">
        <f>COUNTIF($E$112:$E$161,U79)</f>
        <v>0</v>
      </c>
      <c r="W79" s="40">
        <f>V79/$V$37</f>
        <v>0</v>
      </c>
      <c r="X79" s="41">
        <f>$P$4*W79+$Q$4*W80+$R$4*W81</f>
        <v>0</v>
      </c>
    </row>
    <row r="80" spans="1:37" x14ac:dyDescent="0.25">
      <c r="A80" s="1">
        <v>69</v>
      </c>
      <c r="B80" s="5">
        <v>6.2</v>
      </c>
      <c r="C80">
        <v>2.2000000000000002</v>
      </c>
      <c r="D80">
        <v>4.5</v>
      </c>
      <c r="E80">
        <v>1.5</v>
      </c>
      <c r="F80" t="s">
        <v>6</v>
      </c>
      <c r="G80" s="35" t="s">
        <v>23</v>
      </c>
      <c r="I80" s="26">
        <f>I79+0.1</f>
        <v>4.3999999999999995</v>
      </c>
      <c r="J80" s="7">
        <f t="shared" si="26"/>
        <v>0</v>
      </c>
      <c r="K80" s="7">
        <f>J80/$AA$49</f>
        <v>0</v>
      </c>
      <c r="L80" s="16">
        <f>$P$4*K80+$Q$4*K81+$R$4*K82+$O$4*K79</f>
        <v>0</v>
      </c>
      <c r="M80" s="26">
        <f>M79+0.1</f>
        <v>2.1</v>
      </c>
      <c r="N80" s="7">
        <f t="shared" si="27"/>
        <v>0</v>
      </c>
      <c r="O80" s="7">
        <f>N80/$AA$49</f>
        <v>0</v>
      </c>
      <c r="P80" s="14">
        <f>$O$4*O79+$P$4*O80+$Q$4*O81+$R$4*O82</f>
        <v>4.0000000000000001E-3</v>
      </c>
      <c r="Q80" s="15">
        <f>Q79+0.1</f>
        <v>1.1000000000000001</v>
      </c>
      <c r="R80" s="7">
        <f t="shared" ref="R80:R138" si="28">COUNTIF($D$112:$D$161,Q80)</f>
        <v>0</v>
      </c>
      <c r="S80" s="7">
        <f>R80/$R$72</f>
        <v>0</v>
      </c>
      <c r="T80" s="16">
        <f>$O$4*S79+$P$4*S80+$Q$4*S81+$R$4*S82</f>
        <v>0</v>
      </c>
      <c r="U80" s="15">
        <f>U79+0.1</f>
        <v>0.2</v>
      </c>
      <c r="V80" s="7">
        <f t="shared" ref="V80:V103" si="29">COUNTIF($E$112:$E$161,U80)</f>
        <v>0</v>
      </c>
      <c r="W80" s="7">
        <f>V80/$V$37</f>
        <v>0</v>
      </c>
      <c r="X80" s="16">
        <f>$O$4*W79+$P$4*W80+$Q$4*W81+$R$4*W82</f>
        <v>0</v>
      </c>
    </row>
    <row r="81" spans="1:24" x14ac:dyDescent="0.25">
      <c r="A81" s="1">
        <v>70</v>
      </c>
      <c r="B81" s="5">
        <v>5.6</v>
      </c>
      <c r="C81">
        <v>2.5</v>
      </c>
      <c r="D81">
        <v>3.9</v>
      </c>
      <c r="E81">
        <v>1.1000000000000001</v>
      </c>
      <c r="F81" t="s">
        <v>6</v>
      </c>
      <c r="G81" s="35" t="s">
        <v>23</v>
      </c>
      <c r="I81" s="26">
        <f>I80+0.1</f>
        <v>4.4999999999999991</v>
      </c>
      <c r="J81" s="7">
        <f t="shared" si="26"/>
        <v>0</v>
      </c>
      <c r="K81" s="7">
        <f>J81/$AA$49</f>
        <v>0</v>
      </c>
      <c r="L81" s="16">
        <f>$O$4*K80+$P$4*K81+$Q$4*K82+$R$4*K83+K79*$N$4</f>
        <v>0</v>
      </c>
      <c r="M81" s="26">
        <f>K75</f>
        <v>2.2000000000000002</v>
      </c>
      <c r="N81" s="7">
        <f t="shared" si="27"/>
        <v>1</v>
      </c>
      <c r="O81" s="7">
        <f>N81/$AA$49</f>
        <v>0.02</v>
      </c>
      <c r="P81" s="14">
        <f>$N$4*O79+$O$4*O80+$P$4*O81+$Q$4*O82+$R$4*O83</f>
        <v>0.01</v>
      </c>
      <c r="Q81" s="15">
        <f t="shared" ref="Q81:Q87" si="30">Q80+0.1</f>
        <v>1.2000000000000002</v>
      </c>
      <c r="R81" s="7">
        <f t="shared" si="28"/>
        <v>0</v>
      </c>
      <c r="S81" s="7">
        <f>R81/$R$72</f>
        <v>0</v>
      </c>
      <c r="T81" s="16">
        <f>$N$4*S79+$O$4*S80+$P$4*S81+$Q$4*S82+$R$4*S83</f>
        <v>0</v>
      </c>
      <c r="U81" s="15">
        <f t="shared" ref="U81:U103" si="31">U80+0.1</f>
        <v>0.30000000000000004</v>
      </c>
      <c r="V81" s="7">
        <f t="shared" si="29"/>
        <v>0</v>
      </c>
      <c r="W81" s="7">
        <f>V81/$V$37</f>
        <v>0</v>
      </c>
      <c r="X81" s="16">
        <f>$N$4*W79+$O$4*W80+$P$4*W81+$Q$4*W82+$R$4*W83</f>
        <v>0</v>
      </c>
    </row>
    <row r="82" spans="1:24" x14ac:dyDescent="0.25">
      <c r="A82" s="1">
        <v>71</v>
      </c>
      <c r="B82" s="5">
        <v>5.9</v>
      </c>
      <c r="C82">
        <v>3.2</v>
      </c>
      <c r="D82">
        <v>4.8</v>
      </c>
      <c r="E82">
        <v>1.8</v>
      </c>
      <c r="F82" t="s">
        <v>6</v>
      </c>
      <c r="G82" s="35" t="s">
        <v>23</v>
      </c>
      <c r="I82" s="26">
        <f>I81+0.1</f>
        <v>4.5999999999999988</v>
      </c>
      <c r="J82" s="7">
        <f t="shared" si="26"/>
        <v>0</v>
      </c>
      <c r="K82" s="7">
        <f>J82/$AA$49</f>
        <v>0</v>
      </c>
      <c r="L82" s="16">
        <f>$N$4*K80+$O$4*K81+$P$4*K82+$Q$4*K83+$R$4*K84</f>
        <v>0</v>
      </c>
      <c r="M82" s="26">
        <f t="shared" ref="M82:M103" si="32">M81+0.1</f>
        <v>2.3000000000000003</v>
      </c>
      <c r="N82" s="7">
        <f t="shared" si="27"/>
        <v>0</v>
      </c>
      <c r="O82" s="7">
        <f>N82/$AA$49</f>
        <v>0</v>
      </c>
      <c r="P82" s="14">
        <f t="shared" ref="P82:P101" si="33">$N$4*O80+$O$4*O81+$P$4*O82+$Q$4*O83+$R$4*O84</f>
        <v>8.0000000000000002E-3</v>
      </c>
      <c r="Q82" s="15">
        <f t="shared" si="30"/>
        <v>1.3000000000000003</v>
      </c>
      <c r="R82" s="7">
        <f t="shared" si="28"/>
        <v>0</v>
      </c>
      <c r="S82" s="7">
        <f>R82/$R$72</f>
        <v>0</v>
      </c>
      <c r="T82" s="16">
        <f>$N$4*S80+$O$4*S81+$P$4*S82+$Q$4*S83+$R$4*S84</f>
        <v>0</v>
      </c>
      <c r="U82" s="15">
        <f t="shared" si="31"/>
        <v>0.4</v>
      </c>
      <c r="V82" s="7">
        <f t="shared" si="29"/>
        <v>0</v>
      </c>
      <c r="W82" s="7">
        <f>V82/$V$37</f>
        <v>0</v>
      </c>
      <c r="X82" s="16">
        <f t="shared" ref="X82:X101" si="34">$N$4*W80+$O$4*W81+$P$4*W82+$Q$4*W83+$R$4*W84</f>
        <v>0</v>
      </c>
    </row>
    <row r="83" spans="1:24" x14ac:dyDescent="0.25">
      <c r="A83" s="1">
        <v>72</v>
      </c>
      <c r="B83" s="5">
        <v>6.1</v>
      </c>
      <c r="C83">
        <v>2.8</v>
      </c>
      <c r="D83">
        <v>4</v>
      </c>
      <c r="E83">
        <v>1.3</v>
      </c>
      <c r="F83" t="s">
        <v>6</v>
      </c>
      <c r="G83" s="35" t="s">
        <v>23</v>
      </c>
      <c r="I83" s="26">
        <f>I82+0.1</f>
        <v>4.6999999999999984</v>
      </c>
      <c r="J83" s="7">
        <f t="shared" si="26"/>
        <v>0</v>
      </c>
      <c r="K83" s="7">
        <f>J83/$AA$49</f>
        <v>0</v>
      </c>
      <c r="L83" s="16">
        <f>$N$4*K81+$O$4*K82+$P$4*K83+$Q$4*K84+$R$4*K85</f>
        <v>1E-3</v>
      </c>
      <c r="M83" s="26">
        <f t="shared" si="32"/>
        <v>2.4000000000000004</v>
      </c>
      <c r="N83" s="7">
        <f t="shared" si="27"/>
        <v>0</v>
      </c>
      <c r="O83" s="7">
        <f>N83/$AA$49</f>
        <v>0</v>
      </c>
      <c r="P83" s="14">
        <f t="shared" si="33"/>
        <v>1.9000000000000003E-2</v>
      </c>
      <c r="Q83" s="15">
        <f t="shared" si="30"/>
        <v>1.4000000000000004</v>
      </c>
      <c r="R83" s="7">
        <f t="shared" si="28"/>
        <v>0</v>
      </c>
      <c r="S83" s="7">
        <f>R83/$R$72</f>
        <v>0</v>
      </c>
      <c r="T83" s="16">
        <f>$N$4*S81+$O$4*S82+$P$4*S83+$Q$4*S84+$R$4*S85</f>
        <v>0</v>
      </c>
      <c r="U83" s="15">
        <f t="shared" si="31"/>
        <v>0.5</v>
      </c>
      <c r="V83" s="7">
        <f t="shared" si="29"/>
        <v>0</v>
      </c>
      <c r="W83" s="7">
        <f>V83/$V$37</f>
        <v>0</v>
      </c>
      <c r="X83" s="16">
        <f t="shared" si="34"/>
        <v>0</v>
      </c>
    </row>
    <row r="84" spans="1:24" x14ac:dyDescent="0.25">
      <c r="A84" s="1">
        <v>73</v>
      </c>
      <c r="B84" s="5">
        <v>6.3</v>
      </c>
      <c r="C84">
        <v>2.5</v>
      </c>
      <c r="D84">
        <v>4.9000000000000004</v>
      </c>
      <c r="E84">
        <v>1.5</v>
      </c>
      <c r="F84" t="s">
        <v>6</v>
      </c>
      <c r="G84" s="35" t="s">
        <v>23</v>
      </c>
      <c r="I84" s="26">
        <f>I83+0.1</f>
        <v>4.799999999999998</v>
      </c>
      <c r="J84" s="7">
        <f t="shared" si="26"/>
        <v>0</v>
      </c>
      <c r="K84" s="7">
        <f>J84/$AA$49</f>
        <v>0</v>
      </c>
      <c r="L84" s="16">
        <f>$N$4*K82+$O$4*K83+$P$4*K84+$Q$4*K85+$R$4*K86</f>
        <v>4.0000000000000001E-3</v>
      </c>
      <c r="M84" s="26">
        <f t="shared" si="32"/>
        <v>2.5000000000000004</v>
      </c>
      <c r="N84" s="7">
        <f t="shared" si="27"/>
        <v>4</v>
      </c>
      <c r="O84" s="7">
        <f>N84/$AA$49</f>
        <v>0.08</v>
      </c>
      <c r="P84" s="14">
        <f t="shared" si="33"/>
        <v>5.2000000000000005E-2</v>
      </c>
      <c r="Q84" s="15">
        <f t="shared" si="30"/>
        <v>1.5000000000000004</v>
      </c>
      <c r="R84" s="7">
        <f t="shared" si="28"/>
        <v>0</v>
      </c>
      <c r="S84" s="7">
        <f>R84/$R$72</f>
        <v>0</v>
      </c>
      <c r="T84" s="16">
        <f>$N$4*S82+$O$4*S83+$P$4*S84+$Q$4*S85+$R$4*S86</f>
        <v>0</v>
      </c>
      <c r="U84" s="15">
        <f t="shared" si="31"/>
        <v>0.6</v>
      </c>
      <c r="V84" s="7">
        <f t="shared" si="29"/>
        <v>0</v>
      </c>
      <c r="W84" s="7">
        <f>V84/$V$37</f>
        <v>0</v>
      </c>
      <c r="X84" s="16">
        <f t="shared" si="34"/>
        <v>0</v>
      </c>
    </row>
    <row r="85" spans="1:24" x14ac:dyDescent="0.25">
      <c r="A85" s="1">
        <v>74</v>
      </c>
      <c r="B85" s="5">
        <v>6.1</v>
      </c>
      <c r="C85">
        <v>2.8</v>
      </c>
      <c r="D85">
        <v>4.7</v>
      </c>
      <c r="E85">
        <v>1.2</v>
      </c>
      <c r="F85" t="s">
        <v>6</v>
      </c>
      <c r="G85" s="35" t="s">
        <v>23</v>
      </c>
      <c r="I85" s="26">
        <f>J75</f>
        <v>4.9000000000000004</v>
      </c>
      <c r="J85" s="7">
        <f t="shared" ref="J85:J116" si="35">COUNTIF($B$112:$B$161,I85)</f>
        <v>1</v>
      </c>
      <c r="K85" s="7">
        <f>J85/$AA$49</f>
        <v>0.02</v>
      </c>
      <c r="L85" s="16">
        <f>$N$4*K83+$O$4*K84+$P$4*K85+$Q$4*K86+$R$4*K87</f>
        <v>0.01</v>
      </c>
      <c r="M85" s="26">
        <f t="shared" si="32"/>
        <v>2.6000000000000005</v>
      </c>
      <c r="N85" s="7">
        <f t="shared" si="27"/>
        <v>2</v>
      </c>
      <c r="O85" s="7">
        <f>N85/$AA$49</f>
        <v>0.04</v>
      </c>
      <c r="P85" s="14">
        <f t="shared" si="33"/>
        <v>6.0000000000000005E-2</v>
      </c>
      <c r="Q85" s="15">
        <f t="shared" si="30"/>
        <v>1.6000000000000005</v>
      </c>
      <c r="R85" s="7">
        <f t="shared" si="28"/>
        <v>0</v>
      </c>
      <c r="S85" s="7">
        <f>R85/$R$72</f>
        <v>0</v>
      </c>
      <c r="T85" s="16">
        <f>$N$4*S83+$O$4*S84+$P$4*S85+$Q$4*S86+$R$4*S87</f>
        <v>0</v>
      </c>
      <c r="U85" s="15">
        <f t="shared" si="31"/>
        <v>0.7</v>
      </c>
      <c r="V85" s="7">
        <f t="shared" si="29"/>
        <v>0</v>
      </c>
      <c r="W85" s="7">
        <f>V85/$V$37</f>
        <v>0</v>
      </c>
      <c r="X85" s="16">
        <f t="shared" si="34"/>
        <v>0</v>
      </c>
    </row>
    <row r="86" spans="1:24" x14ac:dyDescent="0.25">
      <c r="A86" s="1">
        <v>75</v>
      </c>
      <c r="B86" s="5">
        <v>6.4</v>
      </c>
      <c r="C86">
        <v>2.9</v>
      </c>
      <c r="D86">
        <v>4.3</v>
      </c>
      <c r="E86">
        <v>1.3</v>
      </c>
      <c r="F86" t="s">
        <v>6</v>
      </c>
      <c r="G86" s="35" t="s">
        <v>23</v>
      </c>
      <c r="I86" s="26">
        <f>5</f>
        <v>5</v>
      </c>
      <c r="J86" s="7">
        <f t="shared" si="35"/>
        <v>0</v>
      </c>
      <c r="K86" s="7">
        <f>J86/$AA$49</f>
        <v>0</v>
      </c>
      <c r="L86" s="16">
        <f>$N$4*K84+$O$4*K85+$P$4*K86+$Q$4*K87+$R$4*K88</f>
        <v>4.0000000000000001E-3</v>
      </c>
      <c r="M86" s="26">
        <f t="shared" si="32"/>
        <v>2.7000000000000006</v>
      </c>
      <c r="N86" s="7">
        <f t="shared" si="27"/>
        <v>4</v>
      </c>
      <c r="O86" s="7">
        <f>N86/$AA$49</f>
        <v>0.08</v>
      </c>
      <c r="P86" s="14">
        <f t="shared" si="33"/>
        <v>8.6000000000000007E-2</v>
      </c>
      <c r="Q86" s="15">
        <f t="shared" si="30"/>
        <v>1.7000000000000006</v>
      </c>
      <c r="R86" s="7">
        <f t="shared" si="28"/>
        <v>0</v>
      </c>
      <c r="S86" s="7">
        <f>R86/$R$72</f>
        <v>0</v>
      </c>
      <c r="T86" s="16">
        <f>$N$4*S84+$O$4*S85+$P$4*S86+$Q$4*S87+$R$4*S88</f>
        <v>0</v>
      </c>
      <c r="U86" s="15">
        <f t="shared" si="31"/>
        <v>0.79999999999999993</v>
      </c>
      <c r="V86" s="7">
        <f t="shared" si="29"/>
        <v>0</v>
      </c>
      <c r="W86" s="7">
        <f>V86/$V$37</f>
        <v>0</v>
      </c>
      <c r="X86" s="16">
        <f t="shared" si="34"/>
        <v>0</v>
      </c>
    </row>
    <row r="87" spans="1:24" x14ac:dyDescent="0.25">
      <c r="A87" s="1">
        <v>76</v>
      </c>
      <c r="B87" s="5">
        <v>6.6</v>
      </c>
      <c r="C87">
        <v>3</v>
      </c>
      <c r="D87">
        <v>4.4000000000000004</v>
      </c>
      <c r="E87">
        <v>1.4</v>
      </c>
      <c r="F87" t="s">
        <v>6</v>
      </c>
      <c r="G87" s="35" t="s">
        <v>23</v>
      </c>
      <c r="I87" s="26">
        <f>5.1</f>
        <v>5.0999999999999996</v>
      </c>
      <c r="J87" s="7">
        <f t="shared" si="35"/>
        <v>0</v>
      </c>
      <c r="K87" s="7">
        <f>J87/$AA$49</f>
        <v>0</v>
      </c>
      <c r="L87" s="16">
        <f>$N$4*K85+$O$4*K86+$P$4*K87+$Q$4*K88+$R$4*K89</f>
        <v>1E-3</v>
      </c>
      <c r="M87" s="26">
        <f t="shared" si="32"/>
        <v>2.8000000000000007</v>
      </c>
      <c r="N87" s="7">
        <f t="shared" si="27"/>
        <v>8</v>
      </c>
      <c r="O87" s="7">
        <f>N87/$AA$49</f>
        <v>0.16</v>
      </c>
      <c r="P87" s="14">
        <f t="shared" si="33"/>
        <v>0.11800000000000001</v>
      </c>
      <c r="Q87" s="15">
        <f t="shared" si="30"/>
        <v>1.8000000000000007</v>
      </c>
      <c r="R87" s="7">
        <f t="shared" si="28"/>
        <v>0</v>
      </c>
      <c r="S87" s="7">
        <f>R87/$R$72</f>
        <v>0</v>
      </c>
      <c r="T87" s="16">
        <f>$N$4*S85+$O$4*S86+$P$4*S87+$Q$4*S88+$R$4*S89</f>
        <v>0</v>
      </c>
      <c r="U87" s="15">
        <f t="shared" si="31"/>
        <v>0.89999999999999991</v>
      </c>
      <c r="V87" s="7">
        <f t="shared" si="29"/>
        <v>0</v>
      </c>
      <c r="W87" s="7">
        <f>V87/$V$37</f>
        <v>0</v>
      </c>
      <c r="X87" s="16">
        <f t="shared" si="34"/>
        <v>0</v>
      </c>
    </row>
    <row r="88" spans="1:24" x14ac:dyDescent="0.25">
      <c r="A88" s="1">
        <v>77</v>
      </c>
      <c r="B88" s="5">
        <v>6.8</v>
      </c>
      <c r="C88">
        <v>2.8</v>
      </c>
      <c r="D88">
        <v>4.8</v>
      </c>
      <c r="E88">
        <v>1.4</v>
      </c>
      <c r="F88" t="s">
        <v>6</v>
      </c>
      <c r="G88" s="35" t="s">
        <v>23</v>
      </c>
      <c r="I88" s="26">
        <f>5.2</f>
        <v>5.2</v>
      </c>
      <c r="J88" s="7">
        <f t="shared" si="35"/>
        <v>0</v>
      </c>
      <c r="K88" s="7">
        <f>J88/$AA$49</f>
        <v>0</v>
      </c>
      <c r="L88" s="16">
        <f>$N$4*K86+$O$4*K87+$P$4*K88+$Q$4*K89+$R$4*K90</f>
        <v>0</v>
      </c>
      <c r="M88" s="26">
        <f t="shared" si="32"/>
        <v>2.9000000000000008</v>
      </c>
      <c r="N88" s="7">
        <f t="shared" si="27"/>
        <v>2</v>
      </c>
      <c r="O88" s="7">
        <f>N88/$AA$49</f>
        <v>0.04</v>
      </c>
      <c r="P88" s="14">
        <f t="shared" si="33"/>
        <v>0.10800000000000001</v>
      </c>
      <c r="Q88" s="15">
        <f>Q87+0.1</f>
        <v>1.9000000000000008</v>
      </c>
      <c r="R88" s="7">
        <f t="shared" si="28"/>
        <v>0</v>
      </c>
      <c r="S88" s="7">
        <f>R88/$R$72</f>
        <v>0</v>
      </c>
      <c r="T88" s="16">
        <f>$N$4*S86+$O$4*S87+$P$4*S88+$Q$4*S89+$R$4*S90</f>
        <v>0</v>
      </c>
      <c r="U88" s="15">
        <f t="shared" si="31"/>
        <v>0.99999999999999989</v>
      </c>
      <c r="V88" s="7">
        <f t="shared" si="29"/>
        <v>0</v>
      </c>
      <c r="W88" s="7">
        <f>V88/$V$37</f>
        <v>0</v>
      </c>
      <c r="X88" s="16">
        <f t="shared" si="34"/>
        <v>0</v>
      </c>
    </row>
    <row r="89" spans="1:24" x14ac:dyDescent="0.25">
      <c r="A89" s="1">
        <v>78</v>
      </c>
      <c r="B89" s="5">
        <v>6.7</v>
      </c>
      <c r="C89">
        <v>3</v>
      </c>
      <c r="D89">
        <v>5</v>
      </c>
      <c r="E89">
        <v>1.7</v>
      </c>
      <c r="F89" t="s">
        <v>6</v>
      </c>
      <c r="G89" s="35" t="s">
        <v>24</v>
      </c>
      <c r="I89" s="26">
        <f>5.3</f>
        <v>5.3</v>
      </c>
      <c r="J89" s="7">
        <f t="shared" si="35"/>
        <v>0</v>
      </c>
      <c r="K89" s="7">
        <f>J89/$AA$49</f>
        <v>0</v>
      </c>
      <c r="L89" s="16">
        <f>$N$4*K87+$O$4*K88+$P$4*K89+$Q$4*K90+$R$4*K91</f>
        <v>0</v>
      </c>
      <c r="M89" s="26">
        <f t="shared" si="32"/>
        <v>3.0000000000000009</v>
      </c>
      <c r="N89" s="7">
        <f t="shared" si="27"/>
        <v>12</v>
      </c>
      <c r="O89" s="7">
        <f>N89/$AA$49</f>
        <v>0.24</v>
      </c>
      <c r="P89" s="14">
        <f t="shared" si="33"/>
        <v>0.15700000000000003</v>
      </c>
      <c r="Q89" s="15">
        <f t="shared" ref="Q89:Q138" si="36">Q88+0.1</f>
        <v>2.0000000000000009</v>
      </c>
      <c r="R89" s="7">
        <f t="shared" si="28"/>
        <v>0</v>
      </c>
      <c r="S89" s="7">
        <f>R89/$R$72</f>
        <v>0</v>
      </c>
      <c r="T89" s="16">
        <f>$N$4*S87+$O$4*S88+$P$4*S89+$Q$4*S90+$R$4*S91</f>
        <v>0</v>
      </c>
      <c r="U89" s="15">
        <f t="shared" si="31"/>
        <v>1.0999999999999999</v>
      </c>
      <c r="V89" s="7">
        <f t="shared" si="29"/>
        <v>0</v>
      </c>
      <c r="W89" s="7">
        <f>V89/$V$37</f>
        <v>0</v>
      </c>
      <c r="X89" s="16">
        <f t="shared" si="34"/>
        <v>0</v>
      </c>
    </row>
    <row r="90" spans="1:24" x14ac:dyDescent="0.25">
      <c r="A90" s="1">
        <v>79</v>
      </c>
      <c r="B90" s="5">
        <v>6</v>
      </c>
      <c r="C90">
        <v>2.9</v>
      </c>
      <c r="D90">
        <v>4.5</v>
      </c>
      <c r="E90">
        <v>1.5</v>
      </c>
      <c r="F90" t="s">
        <v>6</v>
      </c>
      <c r="G90" s="35" t="s">
        <v>23</v>
      </c>
      <c r="I90" s="26">
        <f>5.4</f>
        <v>5.4</v>
      </c>
      <c r="J90" s="7">
        <f t="shared" si="35"/>
        <v>0</v>
      </c>
      <c r="K90" s="7">
        <f>J90/$AA$49</f>
        <v>0</v>
      </c>
      <c r="L90" s="16">
        <f>$N$4*K88+$O$4*K89+$P$4*K90+$Q$4*K91+$R$4*K92</f>
        <v>0</v>
      </c>
      <c r="M90" s="26">
        <f t="shared" si="32"/>
        <v>3.100000000000001</v>
      </c>
      <c r="N90" s="7">
        <f t="shared" si="27"/>
        <v>4</v>
      </c>
      <c r="O90" s="7">
        <f>N90/$AA$49</f>
        <v>0.08</v>
      </c>
      <c r="P90" s="14">
        <f t="shared" si="33"/>
        <v>0.113</v>
      </c>
      <c r="Q90" s="15">
        <f t="shared" si="36"/>
        <v>2.100000000000001</v>
      </c>
      <c r="R90" s="7">
        <f t="shared" si="28"/>
        <v>0</v>
      </c>
      <c r="S90" s="7">
        <f>R90/$R$72</f>
        <v>0</v>
      </c>
      <c r="T90" s="16">
        <f>$N$4*S88+$O$4*S89+$P$4*S90+$Q$4*S91+$R$4*S92</f>
        <v>0</v>
      </c>
      <c r="U90" s="15">
        <f t="shared" si="31"/>
        <v>1.2</v>
      </c>
      <c r="V90" s="7">
        <f t="shared" si="29"/>
        <v>0</v>
      </c>
      <c r="W90" s="7">
        <f>V90/$V$37</f>
        <v>0</v>
      </c>
      <c r="X90" s="16">
        <f t="shared" si="34"/>
        <v>1E-3</v>
      </c>
    </row>
    <row r="91" spans="1:24" x14ac:dyDescent="0.25">
      <c r="A91" s="1">
        <v>80</v>
      </c>
      <c r="B91" s="5">
        <v>5.7</v>
      </c>
      <c r="C91">
        <v>2.6</v>
      </c>
      <c r="D91">
        <v>3.5</v>
      </c>
      <c r="E91">
        <v>1</v>
      </c>
      <c r="F91" t="s">
        <v>6</v>
      </c>
      <c r="G91" s="35" t="s">
        <v>23</v>
      </c>
      <c r="I91" s="26">
        <f>5.4</f>
        <v>5.4</v>
      </c>
      <c r="J91" s="7">
        <f t="shared" si="35"/>
        <v>0</v>
      </c>
      <c r="K91" s="7">
        <f>J91/$AA$49</f>
        <v>0</v>
      </c>
      <c r="L91" s="16">
        <f>$N$4*K89+$O$4*K90+$P$4*K91+$Q$4*K92+$R$4*K93</f>
        <v>1E-3</v>
      </c>
      <c r="M91" s="26">
        <f t="shared" si="32"/>
        <v>3.2000000000000011</v>
      </c>
      <c r="N91" s="7">
        <f t="shared" si="27"/>
        <v>5</v>
      </c>
      <c r="O91" s="7">
        <f>N91/$AA$49</f>
        <v>0.1</v>
      </c>
      <c r="P91" s="14">
        <f t="shared" si="33"/>
        <v>9.1999999999999998E-2</v>
      </c>
      <c r="Q91" s="15">
        <f t="shared" si="36"/>
        <v>2.2000000000000011</v>
      </c>
      <c r="R91" s="7">
        <f t="shared" si="28"/>
        <v>0</v>
      </c>
      <c r="S91" s="7">
        <f>R91/$R$72</f>
        <v>0</v>
      </c>
      <c r="T91" s="16">
        <f>$N$4*S89+$O$4*S90+$P$4*S91+$Q$4*S92+$R$4*S93</f>
        <v>0</v>
      </c>
      <c r="U91" s="15">
        <f t="shared" si="31"/>
        <v>1.3</v>
      </c>
      <c r="V91" s="7">
        <f t="shared" si="29"/>
        <v>0</v>
      </c>
      <c r="W91" s="7">
        <f>V91/$V$37</f>
        <v>0</v>
      </c>
      <c r="X91" s="16">
        <f t="shared" si="34"/>
        <v>6.0000000000000001E-3</v>
      </c>
    </row>
    <row r="92" spans="1:24" x14ac:dyDescent="0.25">
      <c r="A92" s="1">
        <v>81</v>
      </c>
      <c r="B92" s="5">
        <v>5.5</v>
      </c>
      <c r="C92">
        <v>2.4</v>
      </c>
      <c r="D92">
        <v>3.8</v>
      </c>
      <c r="E92">
        <v>1.1000000000000001</v>
      </c>
      <c r="F92" t="s">
        <v>6</v>
      </c>
      <c r="G92" s="35" t="s">
        <v>23</v>
      </c>
      <c r="I92" s="26">
        <f t="shared" ref="I92:I107" si="37">I91+0.1</f>
        <v>5.5</v>
      </c>
      <c r="J92" s="7">
        <f t="shared" si="35"/>
        <v>0</v>
      </c>
      <c r="K92" s="7">
        <f>J92/$AA$49</f>
        <v>0</v>
      </c>
      <c r="L92" s="16">
        <f>$N$4*K90+$O$4*K91+$P$4*K92+$Q$4*K93+$R$4*K94</f>
        <v>5.0000000000000001E-3</v>
      </c>
      <c r="M92" s="26">
        <f t="shared" si="32"/>
        <v>3.3000000000000012</v>
      </c>
      <c r="N92" s="7">
        <f t="shared" si="27"/>
        <v>3</v>
      </c>
      <c r="O92" s="7">
        <f>N92/$AA$49</f>
        <v>0.06</v>
      </c>
      <c r="P92" s="14">
        <f t="shared" si="33"/>
        <v>6.2000000000000006E-2</v>
      </c>
      <c r="Q92" s="15">
        <f t="shared" si="36"/>
        <v>2.3000000000000012</v>
      </c>
      <c r="R92" s="7">
        <f t="shared" si="28"/>
        <v>0</v>
      </c>
      <c r="S92" s="7">
        <f>R92/$R$72</f>
        <v>0</v>
      </c>
      <c r="T92" s="16">
        <f>$N$4*S90+$O$4*S91+$P$4*S92+$Q$4*S93+$R$4*S94</f>
        <v>0</v>
      </c>
      <c r="U92" s="15">
        <f t="shared" si="31"/>
        <v>1.4000000000000001</v>
      </c>
      <c r="V92" s="7">
        <f t="shared" si="29"/>
        <v>1</v>
      </c>
      <c r="W92" s="7">
        <f>V92/$V$37</f>
        <v>0.02</v>
      </c>
      <c r="X92" s="16">
        <f t="shared" si="34"/>
        <v>1.9000000000000003E-2</v>
      </c>
    </row>
    <row r="93" spans="1:24" x14ac:dyDescent="0.25">
      <c r="A93" s="1">
        <v>82</v>
      </c>
      <c r="B93" s="5">
        <v>5.5</v>
      </c>
      <c r="C93">
        <v>2.4</v>
      </c>
      <c r="D93">
        <v>3.7</v>
      </c>
      <c r="E93">
        <v>1</v>
      </c>
      <c r="F93" t="s">
        <v>6</v>
      </c>
      <c r="G93" s="35" t="s">
        <v>23</v>
      </c>
      <c r="I93" s="26">
        <f t="shared" si="37"/>
        <v>5.6</v>
      </c>
      <c r="J93" s="7">
        <f t="shared" si="35"/>
        <v>1</v>
      </c>
      <c r="K93" s="7">
        <f>J93/$AA$49</f>
        <v>0.02</v>
      </c>
      <c r="L93" s="16">
        <f>$N$4*K91+$O$4*K92+$P$4*K93+$Q$4*K94+$R$4*K95</f>
        <v>1.7000000000000001E-2</v>
      </c>
      <c r="M93" s="26">
        <f t="shared" si="32"/>
        <v>3.4000000000000012</v>
      </c>
      <c r="N93" s="7">
        <f t="shared" si="27"/>
        <v>2</v>
      </c>
      <c r="O93" s="7">
        <f>N93/$AA$49</f>
        <v>0.04</v>
      </c>
      <c r="P93" s="14">
        <f t="shared" si="33"/>
        <v>3.8000000000000006E-2</v>
      </c>
      <c r="Q93" s="15">
        <f t="shared" si="36"/>
        <v>2.4000000000000012</v>
      </c>
      <c r="R93" s="7">
        <f t="shared" si="28"/>
        <v>0</v>
      </c>
      <c r="S93" s="7">
        <f>R93/$R$72</f>
        <v>0</v>
      </c>
      <c r="T93" s="16">
        <f>$N$4*S91+$O$4*S92+$P$4*S93+$Q$4*S94+$R$4*S95</f>
        <v>0</v>
      </c>
      <c r="U93" s="15">
        <f t="shared" si="31"/>
        <v>1.5000000000000002</v>
      </c>
      <c r="V93" s="7">
        <f t="shared" si="29"/>
        <v>2</v>
      </c>
      <c r="W93" s="7">
        <f>V93/$V$37</f>
        <v>0.04</v>
      </c>
      <c r="X93" s="16">
        <f t="shared" si="34"/>
        <v>2.9000000000000001E-2</v>
      </c>
    </row>
    <row r="94" spans="1:24" x14ac:dyDescent="0.25">
      <c r="A94" s="1">
        <v>83</v>
      </c>
      <c r="B94" s="5">
        <v>5.8</v>
      </c>
      <c r="C94">
        <v>2.7</v>
      </c>
      <c r="D94">
        <v>3.9</v>
      </c>
      <c r="E94">
        <v>1.2</v>
      </c>
      <c r="F94" t="s">
        <v>6</v>
      </c>
      <c r="G94" s="35" t="s">
        <v>23</v>
      </c>
      <c r="I94" s="26">
        <f t="shared" si="37"/>
        <v>5.6999999999999993</v>
      </c>
      <c r="J94" s="7">
        <f t="shared" si="35"/>
        <v>1</v>
      </c>
      <c r="K94" s="7">
        <f>J94/$AA$49</f>
        <v>0.02</v>
      </c>
      <c r="L94" s="16">
        <f>$N$4*K92+$O$4*K93+$P$4*K94+$Q$4*K95+$R$4*K96</f>
        <v>2.7000000000000003E-2</v>
      </c>
      <c r="M94" s="26">
        <f t="shared" si="32"/>
        <v>3.5000000000000013</v>
      </c>
      <c r="N94" s="7">
        <f t="shared" si="27"/>
        <v>0</v>
      </c>
      <c r="O94" s="7">
        <f>N94/$AA$49</f>
        <v>0</v>
      </c>
      <c r="P94" s="14">
        <f t="shared" si="33"/>
        <v>1.4999999999999999E-2</v>
      </c>
      <c r="Q94" s="15">
        <f t="shared" si="36"/>
        <v>2.5000000000000013</v>
      </c>
      <c r="R94" s="7">
        <f t="shared" si="28"/>
        <v>0</v>
      </c>
      <c r="S94" s="7">
        <f>R94/$R$72</f>
        <v>0</v>
      </c>
      <c r="T94" s="16">
        <f>$N$4*S92+$O$4*S93+$P$4*S94+$Q$4*S95+$R$4*S96</f>
        <v>0</v>
      </c>
      <c r="U94" s="15">
        <f t="shared" si="31"/>
        <v>1.6000000000000003</v>
      </c>
      <c r="V94" s="7">
        <f t="shared" si="29"/>
        <v>1</v>
      </c>
      <c r="W94" s="7">
        <f>V94/$V$37</f>
        <v>0.02</v>
      </c>
      <c r="X94" s="16">
        <f t="shared" si="34"/>
        <v>3.4000000000000002E-2</v>
      </c>
    </row>
    <row r="95" spans="1:24" x14ac:dyDescent="0.25">
      <c r="A95" s="1">
        <v>84</v>
      </c>
      <c r="B95" s="5">
        <v>6</v>
      </c>
      <c r="C95">
        <v>2.7</v>
      </c>
      <c r="D95">
        <v>5.0999999999999996</v>
      </c>
      <c r="E95">
        <v>1.6</v>
      </c>
      <c r="F95" t="s">
        <v>6</v>
      </c>
      <c r="G95" s="35" t="s">
        <v>23</v>
      </c>
      <c r="I95" s="26">
        <f t="shared" si="37"/>
        <v>5.7999999999999989</v>
      </c>
      <c r="J95" s="7">
        <f t="shared" si="35"/>
        <v>3</v>
      </c>
      <c r="K95" s="7">
        <f>J95/$AA$49</f>
        <v>0.06</v>
      </c>
      <c r="L95" s="16">
        <f>$N$4*K93+$O$4*K94+$P$4*K95+$Q$4*K96+$R$4*K97</f>
        <v>4.0999999999999995E-2</v>
      </c>
      <c r="M95" s="26">
        <f t="shared" si="32"/>
        <v>3.6000000000000014</v>
      </c>
      <c r="N95" s="7">
        <f t="shared" si="27"/>
        <v>1</v>
      </c>
      <c r="O95" s="7">
        <f>N95/$AA$49</f>
        <v>0.02</v>
      </c>
      <c r="P95" s="14">
        <f t="shared" si="33"/>
        <v>1.4E-2</v>
      </c>
      <c r="Q95" s="15">
        <f t="shared" si="36"/>
        <v>2.6000000000000014</v>
      </c>
      <c r="R95" s="7">
        <f t="shared" si="28"/>
        <v>0</v>
      </c>
      <c r="S95" s="7">
        <f>R95/$R$72</f>
        <v>0</v>
      </c>
      <c r="T95" s="16">
        <f>$N$4*S93+$O$4*S94+$P$4*S95+$Q$4*S96+$R$4*S97</f>
        <v>0</v>
      </c>
      <c r="U95" s="15">
        <f t="shared" si="31"/>
        <v>1.7000000000000004</v>
      </c>
      <c r="V95" s="7">
        <f t="shared" si="29"/>
        <v>1</v>
      </c>
      <c r="W95" s="7">
        <f>V95/$V$37</f>
        <v>0.02</v>
      </c>
      <c r="X95" s="16">
        <f t="shared" si="34"/>
        <v>6.5000000000000002E-2</v>
      </c>
    </row>
    <row r="96" spans="1:24" x14ac:dyDescent="0.25">
      <c r="A96" s="1">
        <v>85</v>
      </c>
      <c r="B96" s="5">
        <v>5.4</v>
      </c>
      <c r="C96">
        <v>3</v>
      </c>
      <c r="D96">
        <v>4.5</v>
      </c>
      <c r="E96">
        <v>1.5</v>
      </c>
      <c r="F96" t="s">
        <v>6</v>
      </c>
      <c r="G96" s="35" t="s">
        <v>23</v>
      </c>
      <c r="I96" s="26">
        <f t="shared" si="37"/>
        <v>5.8999999999999986</v>
      </c>
      <c r="J96" s="7">
        <f t="shared" si="35"/>
        <v>1</v>
      </c>
      <c r="K96" s="7">
        <f>J96/$AA$49</f>
        <v>0.02</v>
      </c>
      <c r="L96" s="16">
        <f>$N$4*K94+$O$4*K95+$P$4*K96+$Q$4*K97+$R$4*K98</f>
        <v>3.3000000000000002E-2</v>
      </c>
      <c r="M96" s="26">
        <f t="shared" si="32"/>
        <v>3.7000000000000015</v>
      </c>
      <c r="N96" s="7">
        <f t="shared" si="27"/>
        <v>0</v>
      </c>
      <c r="O96" s="7">
        <f>N96/$AA$49</f>
        <v>0</v>
      </c>
      <c r="P96" s="14">
        <f t="shared" si="33"/>
        <v>1.2E-2</v>
      </c>
      <c r="Q96" s="15">
        <f t="shared" si="36"/>
        <v>2.7000000000000015</v>
      </c>
      <c r="R96" s="7">
        <f t="shared" si="28"/>
        <v>0</v>
      </c>
      <c r="S96" s="7">
        <f>R96/$R$72</f>
        <v>0</v>
      </c>
      <c r="T96" s="16">
        <f>$N$4*S94+$O$4*S95+$P$4*S96+$Q$4*S97+$R$4*S98</f>
        <v>0</v>
      </c>
      <c r="U96" s="15">
        <f t="shared" si="31"/>
        <v>1.8000000000000005</v>
      </c>
      <c r="V96" s="7">
        <f t="shared" si="29"/>
        <v>11</v>
      </c>
      <c r="W96" s="7">
        <f>V96/$V$37</f>
        <v>0.22</v>
      </c>
      <c r="X96" s="16">
        <f t="shared" si="34"/>
        <v>0.14100000000000001</v>
      </c>
    </row>
    <row r="97" spans="1:24" x14ac:dyDescent="0.25">
      <c r="A97" s="1">
        <v>86</v>
      </c>
      <c r="B97" s="5">
        <v>6</v>
      </c>
      <c r="C97">
        <v>3.4</v>
      </c>
      <c r="D97">
        <v>4.5</v>
      </c>
      <c r="E97">
        <v>1.6</v>
      </c>
      <c r="F97" t="s">
        <v>6</v>
      </c>
      <c r="G97" s="35" t="s">
        <v>23</v>
      </c>
      <c r="I97" s="26">
        <f t="shared" si="37"/>
        <v>5.9999999999999982</v>
      </c>
      <c r="J97" s="7">
        <f t="shared" si="35"/>
        <v>2</v>
      </c>
      <c r="K97" s="7">
        <f>J97/$AA$49</f>
        <v>0.04</v>
      </c>
      <c r="L97" s="16">
        <f>$N$4*K95+$O$4*K96+$P$4*K97+$Q$4*K98+$R$4*K99</f>
        <v>3.7000000000000005E-2</v>
      </c>
      <c r="M97" s="26">
        <f t="shared" si="32"/>
        <v>3.8000000000000016</v>
      </c>
      <c r="N97" s="7">
        <f t="shared" si="27"/>
        <v>2</v>
      </c>
      <c r="O97" s="7">
        <f>N97/$AA$49</f>
        <v>0.04</v>
      </c>
      <c r="P97" s="14">
        <f t="shared" si="33"/>
        <v>2.1000000000000001E-2</v>
      </c>
      <c r="Q97" s="15">
        <f t="shared" si="36"/>
        <v>2.8000000000000016</v>
      </c>
      <c r="R97" s="7">
        <f t="shared" si="28"/>
        <v>0</v>
      </c>
      <c r="S97" s="7">
        <f>R97/$R$72</f>
        <v>0</v>
      </c>
      <c r="T97" s="16">
        <f>$N$4*S95+$O$4*S96+$P$4*S97+$Q$4*S98+$R$4*S99</f>
        <v>0</v>
      </c>
      <c r="U97" s="15">
        <f t="shared" si="31"/>
        <v>1.9000000000000006</v>
      </c>
      <c r="V97" s="7">
        <f t="shared" si="29"/>
        <v>5</v>
      </c>
      <c r="W97" s="7">
        <f>V97/$V$37</f>
        <v>0.1</v>
      </c>
      <c r="X97" s="16">
        <f t="shared" si="34"/>
        <v>0.125</v>
      </c>
    </row>
    <row r="98" spans="1:24" x14ac:dyDescent="0.25">
      <c r="A98" s="1">
        <v>87</v>
      </c>
      <c r="B98" s="5">
        <v>6.7</v>
      </c>
      <c r="C98">
        <v>3.1</v>
      </c>
      <c r="D98">
        <v>4.7</v>
      </c>
      <c r="E98">
        <v>1.5</v>
      </c>
      <c r="F98" t="s">
        <v>6</v>
      </c>
      <c r="G98" s="35" t="s">
        <v>23</v>
      </c>
      <c r="I98" s="26">
        <f t="shared" si="37"/>
        <v>6.0999999999999979</v>
      </c>
      <c r="J98" s="7">
        <f t="shared" si="35"/>
        <v>2</v>
      </c>
      <c r="K98" s="7">
        <f>J98/$AA$49</f>
        <v>0.04</v>
      </c>
      <c r="L98" s="16">
        <f>$N$4*K96+$O$4*K97+$P$4*K98+$Q$4*K99+$R$4*K100</f>
        <v>4.3000000000000003E-2</v>
      </c>
      <c r="M98" s="26">
        <f t="shared" si="32"/>
        <v>3.9000000000000017</v>
      </c>
      <c r="N98" s="7">
        <f t="shared" si="27"/>
        <v>0</v>
      </c>
      <c r="O98" s="7">
        <f>N98/$AA$49</f>
        <v>0</v>
      </c>
      <c r="P98" s="14">
        <f t="shared" si="33"/>
        <v>8.0000000000000002E-3</v>
      </c>
      <c r="Q98" s="15">
        <f t="shared" si="36"/>
        <v>2.9000000000000017</v>
      </c>
      <c r="R98" s="7">
        <f t="shared" si="28"/>
        <v>0</v>
      </c>
      <c r="S98" s="7">
        <f>R98/$R$72</f>
        <v>0</v>
      </c>
      <c r="T98" s="16">
        <f>$N$4*S96+$O$4*S97+$P$4*S98+$Q$4*S99+$R$4*S100</f>
        <v>0</v>
      </c>
      <c r="U98" s="15">
        <f t="shared" si="31"/>
        <v>2.0000000000000004</v>
      </c>
      <c r="V98" s="7">
        <f t="shared" si="29"/>
        <v>6</v>
      </c>
      <c r="W98" s="7">
        <f>V98/$V$37</f>
        <v>0.12</v>
      </c>
      <c r="X98" s="16">
        <f t="shared" si="34"/>
        <v>0.11799999999999999</v>
      </c>
    </row>
    <row r="99" spans="1:24" x14ac:dyDescent="0.25">
      <c r="A99" s="1">
        <v>88</v>
      </c>
      <c r="B99" s="5">
        <v>6.3</v>
      </c>
      <c r="C99">
        <v>2.2999999999999998</v>
      </c>
      <c r="D99">
        <v>4.4000000000000004</v>
      </c>
      <c r="E99">
        <v>1.3</v>
      </c>
      <c r="F99" t="s">
        <v>6</v>
      </c>
      <c r="G99" s="35" t="s">
        <v>23</v>
      </c>
      <c r="I99" s="26">
        <f t="shared" si="37"/>
        <v>6.1999999999999975</v>
      </c>
      <c r="J99" s="7">
        <f t="shared" si="35"/>
        <v>2</v>
      </c>
      <c r="K99" s="7">
        <f>J99/$AA$49</f>
        <v>0.04</v>
      </c>
      <c r="L99" s="16">
        <f>$N$4*K97+$O$4*K98+$P$4*K99+$Q$4*K100+$R$4*K101</f>
        <v>5.8999999999999997E-2</v>
      </c>
      <c r="M99" s="26">
        <f t="shared" si="32"/>
        <v>4.0000000000000018</v>
      </c>
      <c r="N99" s="7">
        <f t="shared" si="27"/>
        <v>0</v>
      </c>
      <c r="O99" s="7">
        <f>N99/$AA$49</f>
        <v>0</v>
      </c>
      <c r="P99" s="14">
        <f t="shared" si="33"/>
        <v>2E-3</v>
      </c>
      <c r="Q99" s="15">
        <f t="shared" si="36"/>
        <v>3.0000000000000018</v>
      </c>
      <c r="R99" s="7">
        <f t="shared" si="28"/>
        <v>0</v>
      </c>
      <c r="S99" s="7">
        <f>R99/$R$72</f>
        <v>0</v>
      </c>
      <c r="T99" s="16">
        <f>$N$4*S97+$O$4*S98+$P$4*S99+$Q$4*S100+$R$4*S101</f>
        <v>0</v>
      </c>
      <c r="U99" s="15">
        <f t="shared" si="31"/>
        <v>2.1000000000000005</v>
      </c>
      <c r="V99" s="7">
        <f t="shared" si="29"/>
        <v>6</v>
      </c>
      <c r="W99" s="7">
        <f>V99/$V$37</f>
        <v>0.12</v>
      </c>
      <c r="X99" s="16">
        <f t="shared" si="34"/>
        <v>0.10899999999999999</v>
      </c>
    </row>
    <row r="100" spans="1:24" x14ac:dyDescent="0.25">
      <c r="A100" s="1">
        <v>89</v>
      </c>
      <c r="B100" s="5">
        <v>5.6</v>
      </c>
      <c r="C100">
        <v>3</v>
      </c>
      <c r="D100">
        <v>4.0999999999999996</v>
      </c>
      <c r="E100">
        <v>1.3</v>
      </c>
      <c r="F100" t="s">
        <v>6</v>
      </c>
      <c r="G100" s="35" t="s">
        <v>23</v>
      </c>
      <c r="I100" s="26">
        <f t="shared" si="37"/>
        <v>6.2999999999999972</v>
      </c>
      <c r="J100" s="7">
        <f t="shared" si="35"/>
        <v>6</v>
      </c>
      <c r="K100" s="7">
        <f>J100/$AA$49</f>
        <v>0.12</v>
      </c>
      <c r="L100" s="16">
        <f>$N$4*K98+$O$4*K99+$P$4*K100+$Q$4*K101+$R$4*K102</f>
        <v>9.4E-2</v>
      </c>
      <c r="M100" s="26">
        <f t="shared" si="32"/>
        <v>4.1000000000000014</v>
      </c>
      <c r="N100" s="7">
        <f t="shared" si="27"/>
        <v>0</v>
      </c>
      <c r="O100" s="7">
        <f>N100/$AA$49</f>
        <v>0</v>
      </c>
      <c r="P100" s="14">
        <f t="shared" si="33"/>
        <v>0</v>
      </c>
      <c r="Q100" s="15">
        <f t="shared" si="36"/>
        <v>3.1000000000000019</v>
      </c>
      <c r="R100" s="7">
        <f t="shared" si="28"/>
        <v>0</v>
      </c>
      <c r="S100" s="7">
        <f>R100/$R$72</f>
        <v>0</v>
      </c>
      <c r="T100" s="16">
        <f>$N$4*S98+$O$4*S99+$P$4*S100+$Q$4*S101+$R$4*S102</f>
        <v>0</v>
      </c>
      <c r="U100" s="15">
        <f t="shared" si="31"/>
        <v>2.2000000000000006</v>
      </c>
      <c r="V100" s="7">
        <f t="shared" si="29"/>
        <v>3</v>
      </c>
      <c r="W100" s="7">
        <f>V100/$V$37</f>
        <v>0.06</v>
      </c>
      <c r="X100" s="16">
        <f t="shared" si="34"/>
        <v>9.5000000000000001E-2</v>
      </c>
    </row>
    <row r="101" spans="1:24" x14ac:dyDescent="0.25">
      <c r="A101" s="1">
        <v>90</v>
      </c>
      <c r="B101" s="5">
        <v>5.5</v>
      </c>
      <c r="C101">
        <v>2.5</v>
      </c>
      <c r="D101">
        <v>4</v>
      </c>
      <c r="E101">
        <v>1.3</v>
      </c>
      <c r="F101" t="s">
        <v>6</v>
      </c>
      <c r="G101" s="35" t="s">
        <v>23</v>
      </c>
      <c r="I101" s="26">
        <f t="shared" si="37"/>
        <v>6.3999999999999968</v>
      </c>
      <c r="J101" s="7">
        <f t="shared" si="35"/>
        <v>5</v>
      </c>
      <c r="K101" s="7">
        <f>J101/$AA$49</f>
        <v>0.1</v>
      </c>
      <c r="L101" s="16">
        <f>$N$4*K99+$O$4*K100+$P$4*K101+$Q$4*K102+$R$4*K103</f>
        <v>9.2000000000000012E-2</v>
      </c>
      <c r="M101" s="26">
        <f t="shared" si="32"/>
        <v>4.2000000000000011</v>
      </c>
      <c r="N101" s="7">
        <f t="shared" si="27"/>
        <v>0</v>
      </c>
      <c r="O101" s="7">
        <f>N101/$AA$49</f>
        <v>0</v>
      </c>
      <c r="P101" s="14">
        <f t="shared" si="33"/>
        <v>0</v>
      </c>
      <c r="Q101" s="15">
        <f t="shared" si="36"/>
        <v>3.200000000000002</v>
      </c>
      <c r="R101" s="7">
        <f t="shared" si="28"/>
        <v>0</v>
      </c>
      <c r="S101" s="7">
        <f>R101/$R$72</f>
        <v>0</v>
      </c>
      <c r="T101" s="16">
        <f>$N$4*S99+$O$4*S100+$P$4*S101+$Q$4*S102+$R$4*S103</f>
        <v>0</v>
      </c>
      <c r="U101" s="15">
        <f t="shared" si="31"/>
        <v>2.3000000000000007</v>
      </c>
      <c r="V101" s="7">
        <f t="shared" si="29"/>
        <v>8</v>
      </c>
      <c r="W101" s="7">
        <f>V101/$V$37</f>
        <v>0.16</v>
      </c>
      <c r="X101" s="16">
        <f t="shared" si="34"/>
        <v>0.113</v>
      </c>
    </row>
    <row r="102" spans="1:24" x14ac:dyDescent="0.25">
      <c r="A102" s="1">
        <v>91</v>
      </c>
      <c r="B102" s="5">
        <v>5.5</v>
      </c>
      <c r="C102">
        <v>2.6</v>
      </c>
      <c r="D102">
        <v>4.4000000000000004</v>
      </c>
      <c r="E102">
        <v>1.2</v>
      </c>
      <c r="F102" t="s">
        <v>6</v>
      </c>
      <c r="G102" s="35" t="s">
        <v>23</v>
      </c>
      <c r="I102" s="26">
        <f t="shared" si="37"/>
        <v>6.4999999999999964</v>
      </c>
      <c r="J102" s="7">
        <f t="shared" si="35"/>
        <v>4</v>
      </c>
      <c r="K102" s="7">
        <f>J102/$AA$49</f>
        <v>0.08</v>
      </c>
      <c r="L102" s="16">
        <f>$N$4*K100+$O$4*K101+$P$4*K102+$Q$4*K103+$R$4*K104</f>
        <v>7.1000000000000008E-2</v>
      </c>
      <c r="M102" s="26">
        <f t="shared" si="32"/>
        <v>4.3000000000000007</v>
      </c>
      <c r="N102" s="7">
        <f t="shared" si="27"/>
        <v>0</v>
      </c>
      <c r="O102" s="7">
        <f>N102/$AA$49</f>
        <v>0</v>
      </c>
      <c r="P102" s="14">
        <f>$N$4*O100+$O$4*O101+$P$4*O102+$Q$4*O103</f>
        <v>0</v>
      </c>
      <c r="Q102" s="15">
        <f t="shared" si="36"/>
        <v>3.300000000000002</v>
      </c>
      <c r="R102" s="7">
        <f t="shared" si="28"/>
        <v>0</v>
      </c>
      <c r="S102" s="7">
        <f>R102/$R$72</f>
        <v>0</v>
      </c>
      <c r="T102" s="16">
        <f>$N$4*S100+$O$4*S101+$P$4*S102+$Q$4*S103+$R$4*S104</f>
        <v>0</v>
      </c>
      <c r="U102" s="15">
        <f t="shared" si="31"/>
        <v>2.4000000000000008</v>
      </c>
      <c r="V102" s="7">
        <f t="shared" si="29"/>
        <v>3</v>
      </c>
      <c r="W102" s="7">
        <f>V102/$V$37</f>
        <v>0.06</v>
      </c>
      <c r="X102" s="16">
        <f>$N$4*W100+$O$4*W101+$P$4*W102+$Q$4*W103</f>
        <v>7.6999999999999999E-2</v>
      </c>
    </row>
    <row r="103" spans="1:24" ht="15.75" thickBot="1" x14ac:dyDescent="0.3">
      <c r="A103" s="1">
        <v>92</v>
      </c>
      <c r="B103" s="5">
        <v>6.1</v>
      </c>
      <c r="C103">
        <v>3</v>
      </c>
      <c r="D103">
        <v>4.5999999999999996</v>
      </c>
      <c r="E103">
        <v>1.4</v>
      </c>
      <c r="F103" t="s">
        <v>6</v>
      </c>
      <c r="G103" s="35" t="s">
        <v>23</v>
      </c>
      <c r="I103" s="26">
        <f t="shared" si="37"/>
        <v>6.5999999999999961</v>
      </c>
      <c r="J103" s="7">
        <f t="shared" si="35"/>
        <v>0</v>
      </c>
      <c r="K103" s="7">
        <f>J103/$AA$49</f>
        <v>0</v>
      </c>
      <c r="L103" s="16">
        <f>$N$4*K101+$O$4*K102+$P$4*K103+$Q$4*K104+$R$4*K105</f>
        <v>4.300000000000001E-2</v>
      </c>
      <c r="M103" s="71">
        <f t="shared" si="32"/>
        <v>4.4000000000000004</v>
      </c>
      <c r="N103" s="51">
        <f t="shared" si="27"/>
        <v>0</v>
      </c>
      <c r="O103" s="51">
        <f>N103/$AA$49</f>
        <v>0</v>
      </c>
      <c r="P103" s="61">
        <f>$N$4*O101+$O$4*O102+$P$4*O103</f>
        <v>0</v>
      </c>
      <c r="Q103" s="15">
        <f t="shared" si="36"/>
        <v>3.4000000000000021</v>
      </c>
      <c r="R103" s="7">
        <f t="shared" si="28"/>
        <v>0</v>
      </c>
      <c r="S103" s="7">
        <f>R103/$R$72</f>
        <v>0</v>
      </c>
      <c r="T103" s="16">
        <f>$N$4*S101+$O$4*S102+$P$4*S103+$Q$4*S104+$R$4*S105</f>
        <v>0</v>
      </c>
      <c r="U103" s="67">
        <f t="shared" si="31"/>
        <v>2.5000000000000009</v>
      </c>
      <c r="V103" s="51">
        <f t="shared" si="29"/>
        <v>3</v>
      </c>
      <c r="W103" s="51">
        <f>V103/$V$37</f>
        <v>0.06</v>
      </c>
      <c r="X103" s="54">
        <f>$N$4*W101+$O$4*W102+$P$4*W103</f>
        <v>0.05</v>
      </c>
    </row>
    <row r="104" spans="1:24" ht="15.75" thickBot="1" x14ac:dyDescent="0.3">
      <c r="A104" s="1">
        <v>93</v>
      </c>
      <c r="B104" s="5">
        <v>5.8</v>
      </c>
      <c r="C104">
        <v>2.6</v>
      </c>
      <c r="D104">
        <v>4</v>
      </c>
      <c r="E104">
        <v>1.2</v>
      </c>
      <c r="F104" t="s">
        <v>6</v>
      </c>
      <c r="G104" s="35" t="s">
        <v>23</v>
      </c>
      <c r="I104" s="26">
        <f t="shared" si="37"/>
        <v>6.6999999999999957</v>
      </c>
      <c r="J104" s="7">
        <f t="shared" si="35"/>
        <v>5</v>
      </c>
      <c r="K104" s="7">
        <f>J104/$AA$49</f>
        <v>0.1</v>
      </c>
      <c r="L104" s="16">
        <f>$N$4*K102+$O$4*K103+$P$4*K104+$Q$4*K105+$R$4*K106</f>
        <v>6.5000000000000002E-2</v>
      </c>
      <c r="M104" s="59" t="s">
        <v>13</v>
      </c>
      <c r="N104" s="57">
        <f>SUM(N79:N103)</f>
        <v>50</v>
      </c>
      <c r="O104" s="58">
        <f>SUM(O79:O103)</f>
        <v>1</v>
      </c>
      <c r="Q104" s="15">
        <f t="shared" si="36"/>
        <v>3.5000000000000022</v>
      </c>
      <c r="R104" s="7">
        <f t="shared" si="28"/>
        <v>0</v>
      </c>
      <c r="S104" s="7">
        <f>R104/$R$72</f>
        <v>0</v>
      </c>
      <c r="T104" s="16">
        <f>$N$4*S102+$O$4*S103+$P$4*S104+$Q$4*S105+$R$4*S106</f>
        <v>0</v>
      </c>
      <c r="U104" s="59" t="s">
        <v>13</v>
      </c>
      <c r="V104" s="57">
        <f>SUM(V79:V103)</f>
        <v>50</v>
      </c>
      <c r="W104" s="58">
        <f>SUM(W79:W103)</f>
        <v>1</v>
      </c>
    </row>
    <row r="105" spans="1:24" x14ac:dyDescent="0.25">
      <c r="A105" s="1">
        <v>94</v>
      </c>
      <c r="B105" s="5">
        <v>5</v>
      </c>
      <c r="C105">
        <v>2.2999999999999998</v>
      </c>
      <c r="D105">
        <v>3.3</v>
      </c>
      <c r="E105">
        <v>1</v>
      </c>
      <c r="F105" t="s">
        <v>6</v>
      </c>
      <c r="G105" s="35" t="s">
        <v>23</v>
      </c>
      <c r="I105" s="26">
        <f t="shared" si="37"/>
        <v>6.7999999999999954</v>
      </c>
      <c r="J105" s="7">
        <f t="shared" si="35"/>
        <v>2</v>
      </c>
      <c r="K105" s="7">
        <f>J105/$AA$49</f>
        <v>0.04</v>
      </c>
      <c r="L105" s="16">
        <f>$N$4*K103+$O$4*K104+$P$4*K105+$Q$4*K106+$R$4*K107</f>
        <v>5.2000000000000005E-2</v>
      </c>
      <c r="Q105" s="15">
        <f t="shared" si="36"/>
        <v>3.6000000000000023</v>
      </c>
      <c r="R105" s="7">
        <f t="shared" si="28"/>
        <v>0</v>
      </c>
      <c r="S105" s="7">
        <f>R105/$R$72</f>
        <v>0</v>
      </c>
      <c r="T105" s="16">
        <f>$N$4*S103+$O$4*S104+$P$4*S105+$Q$4*S106+$R$4*S107</f>
        <v>0</v>
      </c>
    </row>
    <row r="106" spans="1:24" x14ac:dyDescent="0.25">
      <c r="A106" s="1">
        <v>95</v>
      </c>
      <c r="B106" s="5">
        <v>5.6</v>
      </c>
      <c r="C106">
        <v>2.7</v>
      </c>
      <c r="D106">
        <v>4.2</v>
      </c>
      <c r="E106">
        <v>1.3</v>
      </c>
      <c r="F106" t="s">
        <v>6</v>
      </c>
      <c r="G106" s="35" t="s">
        <v>23</v>
      </c>
      <c r="I106" s="26">
        <f t="shared" si="37"/>
        <v>6.899999999999995</v>
      </c>
      <c r="J106" s="7">
        <f t="shared" si="35"/>
        <v>3</v>
      </c>
      <c r="K106" s="7">
        <f>J106/$AA$49</f>
        <v>0.06</v>
      </c>
      <c r="L106" s="16">
        <f>$N$4*K104+$O$4*K105+$P$4*K106+$Q$4*K107+$R$4*K108</f>
        <v>4.3999999999999997E-2</v>
      </c>
      <c r="Q106" s="15">
        <f t="shared" si="36"/>
        <v>3.7000000000000024</v>
      </c>
      <c r="R106" s="7">
        <f t="shared" si="28"/>
        <v>0</v>
      </c>
      <c r="S106" s="7">
        <f>R106/$R$72</f>
        <v>0</v>
      </c>
      <c r="T106" s="16">
        <f>$N$4*S104+$O$4*S105+$P$4*S106+$Q$4*S107+$R$4*S108</f>
        <v>0</v>
      </c>
    </row>
    <row r="107" spans="1:24" x14ac:dyDescent="0.25">
      <c r="A107" s="1">
        <v>96</v>
      </c>
      <c r="B107" s="5">
        <v>5.7</v>
      </c>
      <c r="C107">
        <v>3</v>
      </c>
      <c r="D107">
        <v>4.2</v>
      </c>
      <c r="E107">
        <v>1.2</v>
      </c>
      <c r="F107" t="s">
        <v>6</v>
      </c>
      <c r="G107" s="35" t="s">
        <v>23</v>
      </c>
      <c r="I107" s="26">
        <f t="shared" si="37"/>
        <v>6.9999999999999947</v>
      </c>
      <c r="J107" s="7">
        <f t="shared" si="35"/>
        <v>0</v>
      </c>
      <c r="K107" s="7">
        <f>J107/$AA$49</f>
        <v>0</v>
      </c>
      <c r="L107" s="16">
        <f>$N$4*K105+$O$4*K106+$P$4*K107+$Q$4*K108+$R$4*K109</f>
        <v>2.1000000000000001E-2</v>
      </c>
      <c r="Q107" s="15">
        <f t="shared" si="36"/>
        <v>3.8000000000000025</v>
      </c>
      <c r="R107" s="7">
        <f t="shared" si="28"/>
        <v>0</v>
      </c>
      <c r="S107" s="7">
        <f>R107/$R$72</f>
        <v>0</v>
      </c>
      <c r="T107" s="16">
        <f>$N$4*S105+$O$4*S106+$P$4*S107+$Q$4*S108+$R$4*S109</f>
        <v>0</v>
      </c>
    </row>
    <row r="108" spans="1:24" x14ac:dyDescent="0.25">
      <c r="A108" s="1">
        <v>97</v>
      </c>
      <c r="B108" s="5">
        <v>5.7</v>
      </c>
      <c r="C108">
        <v>2.9</v>
      </c>
      <c r="D108">
        <v>4.2</v>
      </c>
      <c r="E108">
        <v>1.3</v>
      </c>
      <c r="F108" t="s">
        <v>6</v>
      </c>
      <c r="G108" s="35" t="s">
        <v>23</v>
      </c>
      <c r="I108" s="26">
        <f>7.1</f>
        <v>7.1</v>
      </c>
      <c r="J108" s="7">
        <f t="shared" si="35"/>
        <v>1</v>
      </c>
      <c r="K108" s="7">
        <f>J108/$AA$49</f>
        <v>0.02</v>
      </c>
      <c r="L108" s="16">
        <f>$N$4*K106+$O$4*K107+$P$4*K108+$Q$4*K109+$R$4*K110</f>
        <v>2.6000000000000002E-2</v>
      </c>
      <c r="Q108" s="15">
        <f t="shared" si="36"/>
        <v>3.9000000000000026</v>
      </c>
      <c r="R108" s="7">
        <f t="shared" si="28"/>
        <v>0</v>
      </c>
      <c r="S108" s="7">
        <f>R108/$R$72</f>
        <v>0</v>
      </c>
      <c r="T108" s="16">
        <f>$N$4*S106+$O$4*S107+$P$4*S108+$Q$4*S109+$R$4*S110</f>
        <v>0</v>
      </c>
    </row>
    <row r="109" spans="1:24" x14ac:dyDescent="0.25">
      <c r="A109" s="1">
        <v>98</v>
      </c>
      <c r="B109" s="5">
        <v>6.2</v>
      </c>
      <c r="C109">
        <v>2.9</v>
      </c>
      <c r="D109">
        <v>4.3</v>
      </c>
      <c r="E109">
        <v>1.3</v>
      </c>
      <c r="F109" t="s">
        <v>6</v>
      </c>
      <c r="G109" s="35" t="s">
        <v>23</v>
      </c>
      <c r="I109" s="26">
        <f t="shared" ref="I109:I116" si="38">I108+0.1</f>
        <v>7.1999999999999993</v>
      </c>
      <c r="J109" s="7">
        <f t="shared" si="35"/>
        <v>3</v>
      </c>
      <c r="K109" s="7">
        <f>J109/$AA$49</f>
        <v>0.06</v>
      </c>
      <c r="L109" s="16">
        <f>$N$4*K107+$O$4*K108+$P$4*K109+$Q$4*K110+$R$4*K111</f>
        <v>3.9000000000000007E-2</v>
      </c>
      <c r="Q109" s="15">
        <f t="shared" si="36"/>
        <v>4.0000000000000027</v>
      </c>
      <c r="R109" s="7">
        <f t="shared" si="28"/>
        <v>0</v>
      </c>
      <c r="S109" s="7">
        <f>R109/$R$72</f>
        <v>0</v>
      </c>
      <c r="T109" s="16">
        <f>$N$4*S107+$O$4*S108+$P$4*S109+$Q$4*S110+$R$4*S111</f>
        <v>0</v>
      </c>
    </row>
    <row r="110" spans="1:24" x14ac:dyDescent="0.25">
      <c r="A110" s="1">
        <v>99</v>
      </c>
      <c r="B110" s="5">
        <v>5.0999999999999996</v>
      </c>
      <c r="C110">
        <v>2.5</v>
      </c>
      <c r="D110">
        <v>3</v>
      </c>
      <c r="E110">
        <v>1.1000000000000001</v>
      </c>
      <c r="F110" t="s">
        <v>6</v>
      </c>
      <c r="G110" s="35" t="s">
        <v>23</v>
      </c>
      <c r="I110" s="26">
        <f t="shared" si="38"/>
        <v>7.2999999999999989</v>
      </c>
      <c r="J110" s="7">
        <f t="shared" si="35"/>
        <v>1</v>
      </c>
      <c r="K110" s="7">
        <f>J110/$AA$49</f>
        <v>0.02</v>
      </c>
      <c r="L110" s="16">
        <f>$N$4*K108+$O$4*K109+$P$4*K110+$Q$4*K111+$R$4*K112</f>
        <v>2.7E-2</v>
      </c>
      <c r="Q110" s="15">
        <f t="shared" si="36"/>
        <v>4.1000000000000023</v>
      </c>
      <c r="R110" s="7">
        <f t="shared" si="28"/>
        <v>0</v>
      </c>
      <c r="S110" s="7">
        <f>R110/$R$72</f>
        <v>0</v>
      </c>
      <c r="T110" s="16">
        <f>$N$4*S108+$O$4*S109+$P$4*S110+$Q$4*S111+$R$4*S112</f>
        <v>0</v>
      </c>
    </row>
    <row r="111" spans="1:24" x14ac:dyDescent="0.25">
      <c r="A111" s="1">
        <v>100</v>
      </c>
      <c r="B111" s="9">
        <v>5.7</v>
      </c>
      <c r="C111" s="10">
        <v>2.8</v>
      </c>
      <c r="D111" s="10">
        <v>4.0999999999999996</v>
      </c>
      <c r="E111" s="10">
        <v>1.3</v>
      </c>
      <c r="F111" s="10" t="s">
        <v>6</v>
      </c>
      <c r="G111" s="36" t="s">
        <v>23</v>
      </c>
      <c r="I111" s="26">
        <f t="shared" si="38"/>
        <v>7.3999999999999986</v>
      </c>
      <c r="J111" s="7">
        <f t="shared" si="35"/>
        <v>1</v>
      </c>
      <c r="K111" s="7">
        <f>J111/$AA$49</f>
        <v>0.02</v>
      </c>
      <c r="L111" s="16">
        <f>$N$4*K109+$O$4*K110+$P$4*K111+$Q$4*K112+$R$4*K113</f>
        <v>1.8000000000000002E-2</v>
      </c>
      <c r="Q111" s="15">
        <f t="shared" si="36"/>
        <v>4.200000000000002</v>
      </c>
      <c r="R111" s="7">
        <f t="shared" si="28"/>
        <v>0</v>
      </c>
      <c r="S111" s="7">
        <f>R111/$R$72</f>
        <v>0</v>
      </c>
      <c r="T111" s="16">
        <f>$N$4*S109+$O$4*S110+$P$4*S111+$Q$4*S112+$R$4*S113</f>
        <v>0</v>
      </c>
    </row>
    <row r="112" spans="1:24" x14ac:dyDescent="0.25">
      <c r="A112" s="1">
        <v>101</v>
      </c>
      <c r="B112" s="5">
        <v>6.3</v>
      </c>
      <c r="C112">
        <v>3.3</v>
      </c>
      <c r="D112">
        <v>6</v>
      </c>
      <c r="E112">
        <v>2.5</v>
      </c>
      <c r="F112" t="s">
        <v>7</v>
      </c>
      <c r="G112" s="35" t="s">
        <v>24</v>
      </c>
      <c r="I112" s="26">
        <f t="shared" si="38"/>
        <v>7.4999999999999982</v>
      </c>
      <c r="J112" s="7">
        <f t="shared" si="35"/>
        <v>0</v>
      </c>
      <c r="K112" s="7">
        <f>J112/$AA$49</f>
        <v>0</v>
      </c>
      <c r="L112" s="16">
        <f>$N$4*K110+$O$4*K111+$P$4*K112+$Q$4*K113+$R$4*K114</f>
        <v>1.3000000000000001E-2</v>
      </c>
      <c r="Q112" s="15">
        <f t="shared" si="36"/>
        <v>4.3000000000000016</v>
      </c>
      <c r="R112" s="7">
        <f t="shared" si="28"/>
        <v>0</v>
      </c>
      <c r="S112" s="7">
        <f>R112/$R$72</f>
        <v>0</v>
      </c>
      <c r="T112" s="16">
        <f>$N$4*S110+$O$4*S111+$P$4*S112+$Q$4*S113+$R$4*S114</f>
        <v>1E-3</v>
      </c>
    </row>
    <row r="113" spans="1:20" x14ac:dyDescent="0.25">
      <c r="A113" s="1">
        <v>102</v>
      </c>
      <c r="B113" s="5">
        <v>5.8</v>
      </c>
      <c r="C113">
        <v>2.7</v>
      </c>
      <c r="D113">
        <v>5.0999999999999996</v>
      </c>
      <c r="E113">
        <v>1.9</v>
      </c>
      <c r="F113" t="s">
        <v>7</v>
      </c>
      <c r="G113" s="35" t="s">
        <v>24</v>
      </c>
      <c r="I113" s="26">
        <f t="shared" si="38"/>
        <v>7.5999999999999979</v>
      </c>
      <c r="J113" s="7">
        <f t="shared" si="35"/>
        <v>1</v>
      </c>
      <c r="K113" s="7">
        <f>J113/$AA$49</f>
        <v>0.02</v>
      </c>
      <c r="L113" s="16">
        <f>$N$4*K111+$O$4*K112+$P$4*K113+$Q$4*K114+$R$4*K115</f>
        <v>2.7E-2</v>
      </c>
      <c r="Q113" s="15">
        <f t="shared" si="36"/>
        <v>4.4000000000000012</v>
      </c>
      <c r="R113" s="7">
        <f t="shared" si="28"/>
        <v>0</v>
      </c>
      <c r="S113" s="7">
        <f>R113/$R$72</f>
        <v>0</v>
      </c>
      <c r="T113" s="16">
        <f>$N$4*S111+$O$4*S112+$P$4*S113+$Q$4*S114+$R$4*S115</f>
        <v>4.0000000000000001E-3</v>
      </c>
    </row>
    <row r="114" spans="1:20" x14ac:dyDescent="0.25">
      <c r="A114" s="1">
        <v>103</v>
      </c>
      <c r="B114" s="5">
        <v>7.1</v>
      </c>
      <c r="C114">
        <v>3</v>
      </c>
      <c r="D114">
        <v>5.9</v>
      </c>
      <c r="E114">
        <v>2.1</v>
      </c>
      <c r="F114" t="s">
        <v>7</v>
      </c>
      <c r="G114" s="35" t="s">
        <v>24</v>
      </c>
      <c r="I114" s="26">
        <f t="shared" si="38"/>
        <v>7.6999999999999975</v>
      </c>
      <c r="J114" s="7">
        <f t="shared" si="35"/>
        <v>4</v>
      </c>
      <c r="K114" s="7">
        <f>J114/$AA$49</f>
        <v>0.08</v>
      </c>
      <c r="L114" s="16">
        <f>$N$4*K112+$O$4*K113+$P$4*K114+$Q$4*K115+$R$4*K116</f>
        <v>4.4999999999999998E-2</v>
      </c>
      <c r="Q114" s="15">
        <f t="shared" si="36"/>
        <v>4.5000000000000009</v>
      </c>
      <c r="R114" s="7">
        <f t="shared" si="28"/>
        <v>1</v>
      </c>
      <c r="S114" s="7">
        <f>R114/$R$72</f>
        <v>0.02</v>
      </c>
      <c r="T114" s="16">
        <f t="shared" ref="T114:T136" si="39">$N$4*S112+$O$4*S113+$P$4*S114+$Q$4*S115+$R$4*S116</f>
        <v>0.01</v>
      </c>
    </row>
    <row r="115" spans="1:20" x14ac:dyDescent="0.25">
      <c r="A115" s="1">
        <v>104</v>
      </c>
      <c r="B115" s="5">
        <v>6.3</v>
      </c>
      <c r="C115">
        <v>2.9</v>
      </c>
      <c r="D115">
        <v>5.6</v>
      </c>
      <c r="E115">
        <v>1.8</v>
      </c>
      <c r="F115" t="s">
        <v>7</v>
      </c>
      <c r="G115" s="35" t="s">
        <v>24</v>
      </c>
      <c r="I115" s="26">
        <f t="shared" si="38"/>
        <v>7.7999999999999972</v>
      </c>
      <c r="J115" s="7">
        <f t="shared" si="35"/>
        <v>0</v>
      </c>
      <c r="K115" s="7">
        <f>J115/$AA$49</f>
        <v>0</v>
      </c>
      <c r="L115" s="16">
        <f>$N$4*K113+$O$4*K114+$P$4*K115+$Q$4*K116</f>
        <v>2.1000000000000001E-2</v>
      </c>
      <c r="Q115" s="15">
        <f t="shared" si="36"/>
        <v>4.6000000000000005</v>
      </c>
      <c r="R115" s="7">
        <f t="shared" si="28"/>
        <v>0</v>
      </c>
      <c r="S115" s="7">
        <f>R115/$R$72</f>
        <v>0</v>
      </c>
      <c r="T115" s="16">
        <f t="shared" si="39"/>
        <v>6.0000000000000001E-3</v>
      </c>
    </row>
    <row r="116" spans="1:20" ht="15.75" thickBot="1" x14ac:dyDescent="0.3">
      <c r="A116" s="1">
        <v>105</v>
      </c>
      <c r="B116" s="5">
        <v>6.5</v>
      </c>
      <c r="C116">
        <v>3</v>
      </c>
      <c r="D116">
        <v>5.8</v>
      </c>
      <c r="E116">
        <v>2.2000000000000002</v>
      </c>
      <c r="F116" t="s">
        <v>7</v>
      </c>
      <c r="G116" s="35" t="s">
        <v>24</v>
      </c>
      <c r="I116" s="71">
        <f t="shared" si="38"/>
        <v>7.8999999999999968</v>
      </c>
      <c r="J116" s="51">
        <f t="shared" si="35"/>
        <v>1</v>
      </c>
      <c r="K116" s="51">
        <f>J116/$AA$49</f>
        <v>0.02</v>
      </c>
      <c r="L116" s="54">
        <f>$N$4*K114+$O$4*K115+$P$4*K116</f>
        <v>1.4E-2</v>
      </c>
      <c r="Q116" s="15">
        <f t="shared" si="36"/>
        <v>4.7</v>
      </c>
      <c r="R116" s="7">
        <f t="shared" si="28"/>
        <v>0</v>
      </c>
      <c r="S116" s="7">
        <f>R116/$R$72</f>
        <v>0</v>
      </c>
      <c r="T116" s="16">
        <f t="shared" si="39"/>
        <v>1.2E-2</v>
      </c>
    </row>
    <row r="117" spans="1:20" ht="15.75" thickBot="1" x14ac:dyDescent="0.3">
      <c r="A117" s="1">
        <v>106</v>
      </c>
      <c r="B117" s="5">
        <v>7.6</v>
      </c>
      <c r="C117">
        <v>3</v>
      </c>
      <c r="D117">
        <v>6.6</v>
      </c>
      <c r="E117">
        <v>2.1</v>
      </c>
      <c r="F117" t="s">
        <v>7</v>
      </c>
      <c r="G117" s="35" t="s">
        <v>24</v>
      </c>
      <c r="I117" s="56" t="s">
        <v>13</v>
      </c>
      <c r="J117" s="57">
        <f>SUM(J79:J116)</f>
        <v>50</v>
      </c>
      <c r="K117" s="58">
        <f>SUM(K79:K116)</f>
        <v>1</v>
      </c>
      <c r="Q117" s="15">
        <f t="shared" si="36"/>
        <v>4.8</v>
      </c>
      <c r="R117" s="7">
        <f t="shared" si="28"/>
        <v>2</v>
      </c>
      <c r="S117" s="7">
        <f>R117/$R$72</f>
        <v>0.04</v>
      </c>
      <c r="T117" s="16">
        <f t="shared" si="39"/>
        <v>3.5000000000000003E-2</v>
      </c>
    </row>
    <row r="118" spans="1:20" x14ac:dyDescent="0.25">
      <c r="A118" s="1">
        <v>107</v>
      </c>
      <c r="B118" s="5">
        <v>4.9000000000000004</v>
      </c>
      <c r="C118">
        <v>2.5</v>
      </c>
      <c r="D118">
        <v>4.5</v>
      </c>
      <c r="E118">
        <v>1.7</v>
      </c>
      <c r="F118" t="s">
        <v>7</v>
      </c>
      <c r="G118" s="35" t="s">
        <v>23</v>
      </c>
      <c r="Q118" s="15">
        <f t="shared" si="36"/>
        <v>4.8999999999999995</v>
      </c>
      <c r="R118" s="7">
        <f t="shared" si="28"/>
        <v>3</v>
      </c>
      <c r="S118" s="7">
        <f>R118/$R$72</f>
        <v>0.06</v>
      </c>
      <c r="T118" s="16">
        <f t="shared" si="39"/>
        <v>5.7000000000000002E-2</v>
      </c>
    </row>
    <row r="119" spans="1:20" x14ac:dyDescent="0.25">
      <c r="A119" s="1">
        <v>108</v>
      </c>
      <c r="B119" s="5">
        <v>7.3</v>
      </c>
      <c r="C119">
        <v>2.9</v>
      </c>
      <c r="D119">
        <v>6.3</v>
      </c>
      <c r="E119">
        <v>1.8</v>
      </c>
      <c r="F119" t="s">
        <v>7</v>
      </c>
      <c r="G119" s="35" t="s">
        <v>24</v>
      </c>
      <c r="Q119" s="15">
        <f t="shared" si="36"/>
        <v>4.9999999999999991</v>
      </c>
      <c r="R119" s="7">
        <f t="shared" si="28"/>
        <v>3</v>
      </c>
      <c r="S119" s="7">
        <f>R119/$R$72</f>
        <v>0.06</v>
      </c>
      <c r="T119" s="16">
        <f t="shared" si="39"/>
        <v>7.400000000000001E-2</v>
      </c>
    </row>
    <row r="120" spans="1:20" x14ac:dyDescent="0.25">
      <c r="A120" s="1">
        <v>109</v>
      </c>
      <c r="B120" s="5">
        <v>6.7</v>
      </c>
      <c r="C120">
        <v>2.5</v>
      </c>
      <c r="D120">
        <v>5.8</v>
      </c>
      <c r="E120">
        <v>1.8</v>
      </c>
      <c r="F120" t="s">
        <v>7</v>
      </c>
      <c r="G120" s="35" t="s">
        <v>24</v>
      </c>
      <c r="Q120" s="15">
        <f t="shared" si="36"/>
        <v>5.0999999999999988</v>
      </c>
      <c r="R120" s="7">
        <f t="shared" si="28"/>
        <v>7</v>
      </c>
      <c r="S120" s="7">
        <f>R120/$R$72</f>
        <v>0.14000000000000001</v>
      </c>
      <c r="T120" s="16">
        <f t="shared" si="39"/>
        <v>9.5000000000000001E-2</v>
      </c>
    </row>
    <row r="121" spans="1:20" x14ac:dyDescent="0.25">
      <c r="A121" s="1">
        <v>110</v>
      </c>
      <c r="B121" s="5">
        <v>7.2</v>
      </c>
      <c r="C121">
        <v>3.6</v>
      </c>
      <c r="D121">
        <v>6.1</v>
      </c>
      <c r="E121">
        <v>2.5</v>
      </c>
      <c r="F121" t="s">
        <v>7</v>
      </c>
      <c r="G121" s="35" t="s">
        <v>24</v>
      </c>
      <c r="Q121" s="15">
        <f t="shared" si="36"/>
        <v>5.1999999999999984</v>
      </c>
      <c r="R121" s="7">
        <f t="shared" si="28"/>
        <v>2</v>
      </c>
      <c r="S121" s="7">
        <f>R121/$R$72</f>
        <v>0.04</v>
      </c>
      <c r="T121" s="16">
        <f t="shared" si="39"/>
        <v>6.1000000000000006E-2</v>
      </c>
    </row>
    <row r="122" spans="1:20" x14ac:dyDescent="0.25">
      <c r="A122" s="1">
        <v>111</v>
      </c>
      <c r="B122" s="5">
        <v>6.5</v>
      </c>
      <c r="C122">
        <v>3.2</v>
      </c>
      <c r="D122">
        <v>5.0999999999999996</v>
      </c>
      <c r="E122">
        <v>2</v>
      </c>
      <c r="F122" t="s">
        <v>7</v>
      </c>
      <c r="G122" s="35" t="s">
        <v>24</v>
      </c>
      <c r="Q122" s="15">
        <f t="shared" si="36"/>
        <v>5.299999999999998</v>
      </c>
      <c r="R122" s="7">
        <f t="shared" si="28"/>
        <v>2</v>
      </c>
      <c r="S122" s="7">
        <f>R122/$R$72</f>
        <v>0.04</v>
      </c>
      <c r="T122" s="16">
        <f t="shared" si="39"/>
        <v>4.6000000000000006E-2</v>
      </c>
    </row>
    <row r="123" spans="1:20" x14ac:dyDescent="0.25">
      <c r="A123" s="1">
        <v>112</v>
      </c>
      <c r="B123" s="5">
        <v>6.4</v>
      </c>
      <c r="C123">
        <v>2.7</v>
      </c>
      <c r="D123">
        <v>5.3</v>
      </c>
      <c r="E123">
        <v>1.9</v>
      </c>
      <c r="F123" t="s">
        <v>7</v>
      </c>
      <c r="G123" s="35" t="s">
        <v>24</v>
      </c>
      <c r="Q123" s="15">
        <f t="shared" si="36"/>
        <v>5.3999999999999977</v>
      </c>
      <c r="R123" s="7">
        <f t="shared" si="28"/>
        <v>2</v>
      </c>
      <c r="S123" s="7">
        <f>R123/$R$72</f>
        <v>0.04</v>
      </c>
      <c r="T123" s="16">
        <f t="shared" si="39"/>
        <v>4.7999999999999994E-2</v>
      </c>
    </row>
    <row r="124" spans="1:20" x14ac:dyDescent="0.25">
      <c r="A124" s="1">
        <v>113</v>
      </c>
      <c r="B124" s="5">
        <v>6.8</v>
      </c>
      <c r="C124">
        <v>3</v>
      </c>
      <c r="D124">
        <v>5.5</v>
      </c>
      <c r="E124">
        <v>2.1</v>
      </c>
      <c r="F124" t="s">
        <v>7</v>
      </c>
      <c r="G124" s="35" t="s">
        <v>24</v>
      </c>
      <c r="Q124" s="15">
        <f t="shared" si="36"/>
        <v>5.4999999999999973</v>
      </c>
      <c r="R124" s="7">
        <f t="shared" si="28"/>
        <v>3</v>
      </c>
      <c r="S124" s="7">
        <f>R124/$R$72</f>
        <v>0.06</v>
      </c>
      <c r="T124" s="16">
        <f t="shared" si="39"/>
        <v>6.7000000000000004E-2</v>
      </c>
    </row>
    <row r="125" spans="1:20" x14ac:dyDescent="0.25">
      <c r="A125" s="1">
        <v>114</v>
      </c>
      <c r="B125" s="5">
        <v>5.7</v>
      </c>
      <c r="C125">
        <v>2.5</v>
      </c>
      <c r="D125">
        <v>5</v>
      </c>
      <c r="E125">
        <v>2</v>
      </c>
      <c r="F125" t="s">
        <v>7</v>
      </c>
      <c r="G125" s="35" t="s">
        <v>24</v>
      </c>
      <c r="Q125" s="15">
        <f t="shared" si="36"/>
        <v>5.599999999999997</v>
      </c>
      <c r="R125" s="7">
        <f t="shared" si="28"/>
        <v>6</v>
      </c>
      <c r="S125" s="7">
        <f>R125/$R$72</f>
        <v>0.12</v>
      </c>
      <c r="T125" s="16">
        <f t="shared" si="39"/>
        <v>8.8999999999999996E-2</v>
      </c>
    </row>
    <row r="126" spans="1:20" x14ac:dyDescent="0.25">
      <c r="A126" s="1">
        <v>115</v>
      </c>
      <c r="B126" s="5">
        <v>5.8</v>
      </c>
      <c r="C126">
        <v>2.8</v>
      </c>
      <c r="D126">
        <v>5.0999999999999996</v>
      </c>
      <c r="E126">
        <v>2.4</v>
      </c>
      <c r="F126" t="s">
        <v>7</v>
      </c>
      <c r="G126" s="35" t="s">
        <v>24</v>
      </c>
      <c r="Q126" s="15">
        <f t="shared" si="36"/>
        <v>5.6999999999999966</v>
      </c>
      <c r="R126" s="7">
        <f t="shared" si="28"/>
        <v>3</v>
      </c>
      <c r="S126" s="7">
        <f>R126/$R$72</f>
        <v>0.06</v>
      </c>
      <c r="T126" s="16">
        <f t="shared" si="39"/>
        <v>7.0999999999999994E-2</v>
      </c>
    </row>
    <row r="127" spans="1:20" x14ac:dyDescent="0.25">
      <c r="A127" s="1">
        <v>116</v>
      </c>
      <c r="B127" s="5">
        <v>6.4</v>
      </c>
      <c r="C127">
        <v>3.2</v>
      </c>
      <c r="D127">
        <v>5.3</v>
      </c>
      <c r="E127">
        <v>2.2999999999999998</v>
      </c>
      <c r="F127" t="s">
        <v>7</v>
      </c>
      <c r="G127" s="35" t="s">
        <v>24</v>
      </c>
      <c r="Q127" s="15">
        <f t="shared" si="36"/>
        <v>5.7999999999999963</v>
      </c>
      <c r="R127" s="7">
        <f t="shared" si="28"/>
        <v>3</v>
      </c>
      <c r="S127" s="7">
        <f>R127/$R$72</f>
        <v>0.06</v>
      </c>
      <c r="T127" s="16">
        <f t="shared" si="39"/>
        <v>5.8000000000000003E-2</v>
      </c>
    </row>
    <row r="128" spans="1:20" x14ac:dyDescent="0.25">
      <c r="A128" s="1">
        <v>117</v>
      </c>
      <c r="B128" s="5">
        <v>6.5</v>
      </c>
      <c r="C128">
        <v>3</v>
      </c>
      <c r="D128">
        <v>5.5</v>
      </c>
      <c r="E128">
        <v>1.8</v>
      </c>
      <c r="F128" t="s">
        <v>7</v>
      </c>
      <c r="G128" s="35" t="s">
        <v>24</v>
      </c>
      <c r="Q128" s="15">
        <f t="shared" si="36"/>
        <v>5.8999999999999959</v>
      </c>
      <c r="R128" s="7">
        <f t="shared" si="28"/>
        <v>2</v>
      </c>
      <c r="S128" s="7">
        <f>R128/$R$72</f>
        <v>0.04</v>
      </c>
      <c r="T128" s="16">
        <f t="shared" si="39"/>
        <v>4.6000000000000006E-2</v>
      </c>
    </row>
    <row r="129" spans="1:20" x14ac:dyDescent="0.25">
      <c r="A129" s="1">
        <v>118</v>
      </c>
      <c r="B129" s="5">
        <v>7.7</v>
      </c>
      <c r="C129">
        <v>3.8</v>
      </c>
      <c r="D129">
        <v>6.7</v>
      </c>
      <c r="E129">
        <v>2.2000000000000002</v>
      </c>
      <c r="F129" t="s">
        <v>7</v>
      </c>
      <c r="G129" s="35" t="s">
        <v>24</v>
      </c>
      <c r="Q129" s="15">
        <f t="shared" si="36"/>
        <v>5.9999999999999956</v>
      </c>
      <c r="R129" s="7">
        <f t="shared" si="28"/>
        <v>2</v>
      </c>
      <c r="S129" s="7">
        <f>R129/$R$72</f>
        <v>0.04</v>
      </c>
      <c r="T129" s="16">
        <f t="shared" si="39"/>
        <v>4.2999999999999997E-2</v>
      </c>
    </row>
    <row r="130" spans="1:20" x14ac:dyDescent="0.25">
      <c r="A130" s="1">
        <v>119</v>
      </c>
      <c r="B130" s="5">
        <v>7.7</v>
      </c>
      <c r="C130">
        <v>2.6</v>
      </c>
      <c r="D130">
        <v>6.9</v>
      </c>
      <c r="E130">
        <v>2.2999999999999998</v>
      </c>
      <c r="F130" t="s">
        <v>7</v>
      </c>
      <c r="G130" s="35" t="s">
        <v>24</v>
      </c>
      <c r="Q130" s="15">
        <f>6.1</f>
        <v>6.1</v>
      </c>
      <c r="R130" s="7">
        <f t="shared" si="28"/>
        <v>3</v>
      </c>
      <c r="S130" s="7">
        <f>R130/$R$72</f>
        <v>0.06</v>
      </c>
      <c r="T130" s="16">
        <f t="shared" si="39"/>
        <v>4.1000000000000002E-2</v>
      </c>
    </row>
    <row r="131" spans="1:20" x14ac:dyDescent="0.25">
      <c r="A131" s="1">
        <v>120</v>
      </c>
      <c r="B131" s="5">
        <v>6</v>
      </c>
      <c r="C131">
        <v>2.2000000000000002</v>
      </c>
      <c r="D131">
        <v>5</v>
      </c>
      <c r="E131">
        <v>1.5</v>
      </c>
      <c r="F131" t="s">
        <v>7</v>
      </c>
      <c r="G131" s="35" t="s">
        <v>23</v>
      </c>
      <c r="Q131" s="15">
        <f t="shared" si="36"/>
        <v>6.1999999999999993</v>
      </c>
      <c r="R131" s="7">
        <f t="shared" si="28"/>
        <v>0</v>
      </c>
      <c r="S131" s="7">
        <f>R131/$R$72</f>
        <v>0</v>
      </c>
      <c r="T131" s="16">
        <f t="shared" si="39"/>
        <v>1.9000000000000003E-2</v>
      </c>
    </row>
    <row r="132" spans="1:20" x14ac:dyDescent="0.25">
      <c r="A132" s="1">
        <v>121</v>
      </c>
      <c r="B132" s="5">
        <v>6.9</v>
      </c>
      <c r="C132">
        <v>3.2</v>
      </c>
      <c r="D132">
        <v>5.7</v>
      </c>
      <c r="E132">
        <v>2.2999999999999998</v>
      </c>
      <c r="F132" t="s">
        <v>7</v>
      </c>
      <c r="G132" s="35" t="s">
        <v>24</v>
      </c>
      <c r="Q132" s="15">
        <f t="shared" si="36"/>
        <v>6.2999999999999989</v>
      </c>
      <c r="R132" s="7">
        <f t="shared" si="28"/>
        <v>1</v>
      </c>
      <c r="S132" s="7">
        <f>R132/$R$72</f>
        <v>0.02</v>
      </c>
      <c r="T132" s="16">
        <f t="shared" si="39"/>
        <v>1.7000000000000001E-2</v>
      </c>
    </row>
    <row r="133" spans="1:20" x14ac:dyDescent="0.25">
      <c r="A133" s="1">
        <v>122</v>
      </c>
      <c r="B133" s="5">
        <v>5.6</v>
      </c>
      <c r="C133">
        <v>2.8</v>
      </c>
      <c r="D133">
        <v>4.9000000000000004</v>
      </c>
      <c r="E133">
        <v>2</v>
      </c>
      <c r="F133" t="s">
        <v>7</v>
      </c>
      <c r="G133" s="35" t="s">
        <v>24</v>
      </c>
      <c r="Q133" s="15">
        <f t="shared" si="36"/>
        <v>6.3999999999999986</v>
      </c>
      <c r="R133" s="7">
        <f t="shared" si="28"/>
        <v>1</v>
      </c>
      <c r="S133" s="7">
        <f>R133/$R$72</f>
        <v>0.02</v>
      </c>
      <c r="T133" s="16">
        <f t="shared" si="39"/>
        <v>1.4999999999999999E-2</v>
      </c>
    </row>
    <row r="134" spans="1:20" x14ac:dyDescent="0.25">
      <c r="A134" s="1">
        <v>123</v>
      </c>
      <c r="B134" s="5">
        <v>7.7</v>
      </c>
      <c r="C134">
        <v>2.8</v>
      </c>
      <c r="D134">
        <v>6.7</v>
      </c>
      <c r="E134">
        <v>2</v>
      </c>
      <c r="F134" t="s">
        <v>7</v>
      </c>
      <c r="G134" s="35" t="s">
        <v>24</v>
      </c>
      <c r="Q134" s="15">
        <f t="shared" si="36"/>
        <v>6.4999999999999982</v>
      </c>
      <c r="R134" s="7">
        <f t="shared" si="28"/>
        <v>0</v>
      </c>
      <c r="S134" s="7">
        <f>R134/$R$72</f>
        <v>0</v>
      </c>
      <c r="T134" s="16">
        <f t="shared" si="39"/>
        <v>1.1000000000000001E-2</v>
      </c>
    </row>
    <row r="135" spans="1:20" x14ac:dyDescent="0.25">
      <c r="A135" s="1">
        <v>124</v>
      </c>
      <c r="B135" s="5">
        <v>6.3</v>
      </c>
      <c r="C135">
        <v>2.7</v>
      </c>
      <c r="D135">
        <v>4.9000000000000004</v>
      </c>
      <c r="E135">
        <v>1.8</v>
      </c>
      <c r="F135" t="s">
        <v>7</v>
      </c>
      <c r="G135" s="35" t="s">
        <v>24</v>
      </c>
      <c r="Q135" s="15">
        <f t="shared" si="36"/>
        <v>6.5999999999999979</v>
      </c>
      <c r="R135" s="7">
        <f t="shared" si="28"/>
        <v>1</v>
      </c>
      <c r="S135" s="7">
        <f>R135/$R$72</f>
        <v>0.02</v>
      </c>
      <c r="T135" s="16">
        <f t="shared" si="39"/>
        <v>1.9E-2</v>
      </c>
    </row>
    <row r="136" spans="1:20" x14ac:dyDescent="0.25">
      <c r="A136" s="1">
        <v>125</v>
      </c>
      <c r="B136" s="5">
        <v>6.7</v>
      </c>
      <c r="C136">
        <v>3.3</v>
      </c>
      <c r="D136">
        <v>5.7</v>
      </c>
      <c r="E136">
        <v>2.1</v>
      </c>
      <c r="F136" t="s">
        <v>7</v>
      </c>
      <c r="G136" s="35" t="s">
        <v>24</v>
      </c>
      <c r="Q136" s="15">
        <f t="shared" si="36"/>
        <v>6.6999999999999975</v>
      </c>
      <c r="R136" s="7">
        <f t="shared" si="28"/>
        <v>2</v>
      </c>
      <c r="S136" s="7">
        <f>R136/$R$72</f>
        <v>0.04</v>
      </c>
      <c r="T136" s="16">
        <f t="shared" si="39"/>
        <v>2.5000000000000001E-2</v>
      </c>
    </row>
    <row r="137" spans="1:20" x14ac:dyDescent="0.25">
      <c r="A137" s="1">
        <v>126</v>
      </c>
      <c r="B137" s="5">
        <v>7.2</v>
      </c>
      <c r="C137">
        <v>3.2</v>
      </c>
      <c r="D137">
        <v>6</v>
      </c>
      <c r="E137">
        <v>1.8</v>
      </c>
      <c r="F137" t="s">
        <v>7</v>
      </c>
      <c r="G137" s="35" t="s">
        <v>24</v>
      </c>
      <c r="Q137" s="15">
        <f t="shared" si="36"/>
        <v>6.7999999999999972</v>
      </c>
      <c r="R137" s="7">
        <f t="shared" si="28"/>
        <v>0</v>
      </c>
      <c r="S137" s="7">
        <f>R137/$R$72</f>
        <v>0</v>
      </c>
      <c r="T137" s="16">
        <f>$N$4*S135+$O$4*S136+$P$4*S137+$Q$4*S138</f>
        <v>1.3000000000000001E-2</v>
      </c>
    </row>
    <row r="138" spans="1:20" ht="15.75" thickBot="1" x14ac:dyDescent="0.3">
      <c r="A138" s="1">
        <v>127</v>
      </c>
      <c r="B138" s="5">
        <v>6.2</v>
      </c>
      <c r="C138">
        <v>2.8</v>
      </c>
      <c r="D138">
        <v>4.8</v>
      </c>
      <c r="E138">
        <v>1.8</v>
      </c>
      <c r="F138" t="s">
        <v>7</v>
      </c>
      <c r="G138" s="35" t="s">
        <v>24</v>
      </c>
      <c r="Q138" s="67">
        <f t="shared" si="36"/>
        <v>6.8999999999999968</v>
      </c>
      <c r="R138" s="51">
        <f t="shared" si="28"/>
        <v>1</v>
      </c>
      <c r="S138" s="51">
        <f>R138/$R$72</f>
        <v>0.02</v>
      </c>
      <c r="T138" s="54">
        <f>$N$4*S136+$O$4*S137+$P$4*S138</f>
        <v>1.2E-2</v>
      </c>
    </row>
    <row r="139" spans="1:20" ht="15.75" thickBot="1" x14ac:dyDescent="0.3">
      <c r="A139" s="1">
        <v>128</v>
      </c>
      <c r="B139" s="5">
        <v>6.1</v>
      </c>
      <c r="C139">
        <v>3</v>
      </c>
      <c r="D139">
        <v>4.9000000000000004</v>
      </c>
      <c r="E139">
        <v>1.8</v>
      </c>
      <c r="F139" t="s">
        <v>7</v>
      </c>
      <c r="G139" s="35" t="s">
        <v>24</v>
      </c>
      <c r="Q139" s="56" t="s">
        <v>13</v>
      </c>
      <c r="R139" s="57">
        <f>SUM(R79:R138)</f>
        <v>50</v>
      </c>
      <c r="S139" s="58">
        <f>SUM(S79:S138)</f>
        <v>1.0000000000000002</v>
      </c>
    </row>
    <row r="140" spans="1:20" x14ac:dyDescent="0.25">
      <c r="A140" s="1">
        <v>129</v>
      </c>
      <c r="B140" s="5">
        <v>6.4</v>
      </c>
      <c r="C140">
        <v>2.8</v>
      </c>
      <c r="D140">
        <v>5.6</v>
      </c>
      <c r="E140">
        <v>2.1</v>
      </c>
      <c r="F140" t="s">
        <v>7</v>
      </c>
      <c r="G140" s="35" t="s">
        <v>24</v>
      </c>
    </row>
    <row r="141" spans="1:20" x14ac:dyDescent="0.25">
      <c r="A141" s="1">
        <v>130</v>
      </c>
      <c r="B141" s="5">
        <v>7.2</v>
      </c>
      <c r="C141">
        <v>3</v>
      </c>
      <c r="D141">
        <v>5.8</v>
      </c>
      <c r="E141">
        <v>1.6</v>
      </c>
      <c r="F141" t="s">
        <v>7</v>
      </c>
      <c r="G141" s="35" t="s">
        <v>24</v>
      </c>
    </row>
    <row r="142" spans="1:20" x14ac:dyDescent="0.25">
      <c r="A142" s="1">
        <v>131</v>
      </c>
      <c r="B142" s="5">
        <v>7.4</v>
      </c>
      <c r="C142">
        <v>2.8</v>
      </c>
      <c r="D142">
        <v>6.1</v>
      </c>
      <c r="E142">
        <v>1.9</v>
      </c>
      <c r="F142" t="s">
        <v>7</v>
      </c>
      <c r="G142" s="35" t="s">
        <v>24</v>
      </c>
    </row>
    <row r="143" spans="1:20" x14ac:dyDescent="0.25">
      <c r="A143" s="1">
        <v>132</v>
      </c>
      <c r="B143" s="5">
        <v>7.9</v>
      </c>
      <c r="C143">
        <v>3.8</v>
      </c>
      <c r="D143">
        <v>6.4</v>
      </c>
      <c r="E143">
        <v>2</v>
      </c>
      <c r="F143" t="s">
        <v>7</v>
      </c>
      <c r="G143" s="35" t="s">
        <v>24</v>
      </c>
    </row>
    <row r="144" spans="1:20" x14ac:dyDescent="0.25">
      <c r="A144" s="1">
        <v>133</v>
      </c>
      <c r="B144" s="5">
        <v>6.4</v>
      </c>
      <c r="C144">
        <v>2.8</v>
      </c>
      <c r="D144">
        <v>5.6</v>
      </c>
      <c r="E144">
        <v>2.2000000000000002</v>
      </c>
      <c r="F144" t="s">
        <v>7</v>
      </c>
      <c r="G144" s="35" t="s">
        <v>24</v>
      </c>
    </row>
    <row r="145" spans="1:7" x14ac:dyDescent="0.25">
      <c r="A145" s="1">
        <v>134</v>
      </c>
      <c r="B145" s="5">
        <v>6.3</v>
      </c>
      <c r="C145">
        <v>2.8</v>
      </c>
      <c r="D145">
        <v>5.0999999999999996</v>
      </c>
      <c r="E145">
        <v>1.5</v>
      </c>
      <c r="F145" t="s">
        <v>7</v>
      </c>
      <c r="G145" s="35" t="s">
        <v>24</v>
      </c>
    </row>
    <row r="146" spans="1:7" x14ac:dyDescent="0.25">
      <c r="A146" s="1">
        <v>135</v>
      </c>
      <c r="B146" s="5">
        <v>6.1</v>
      </c>
      <c r="C146">
        <v>2.6</v>
      </c>
      <c r="D146">
        <v>5.6</v>
      </c>
      <c r="E146">
        <v>1.4</v>
      </c>
      <c r="F146" t="s">
        <v>7</v>
      </c>
      <c r="G146" s="35" t="s">
        <v>24</v>
      </c>
    </row>
    <row r="147" spans="1:7" x14ac:dyDescent="0.25">
      <c r="A147" s="1">
        <v>136</v>
      </c>
      <c r="B147" s="5">
        <v>7.7</v>
      </c>
      <c r="C147">
        <v>3</v>
      </c>
      <c r="D147">
        <v>6.1</v>
      </c>
      <c r="E147">
        <v>2.2999999999999998</v>
      </c>
      <c r="F147" t="s">
        <v>7</v>
      </c>
      <c r="G147" s="35" t="s">
        <v>24</v>
      </c>
    </row>
    <row r="148" spans="1:7" x14ac:dyDescent="0.25">
      <c r="A148" s="1">
        <v>137</v>
      </c>
      <c r="B148" s="5">
        <v>6.3</v>
      </c>
      <c r="C148">
        <v>3.4</v>
      </c>
      <c r="D148">
        <v>5.6</v>
      </c>
      <c r="E148">
        <v>2.4</v>
      </c>
      <c r="F148" t="s">
        <v>7</v>
      </c>
      <c r="G148" s="35" t="s">
        <v>24</v>
      </c>
    </row>
    <row r="149" spans="1:7" x14ac:dyDescent="0.25">
      <c r="A149" s="1">
        <v>138</v>
      </c>
      <c r="B149" s="5">
        <v>6.4</v>
      </c>
      <c r="C149">
        <v>3.1</v>
      </c>
      <c r="D149">
        <v>5.5</v>
      </c>
      <c r="E149">
        <v>1.8</v>
      </c>
      <c r="F149" t="s">
        <v>7</v>
      </c>
      <c r="G149" s="35" t="s">
        <v>24</v>
      </c>
    </row>
    <row r="150" spans="1:7" x14ac:dyDescent="0.25">
      <c r="A150" s="1">
        <v>139</v>
      </c>
      <c r="B150" s="5">
        <v>6</v>
      </c>
      <c r="C150">
        <v>3</v>
      </c>
      <c r="D150">
        <v>4.8</v>
      </c>
      <c r="E150">
        <v>1.8</v>
      </c>
      <c r="F150" t="s">
        <v>7</v>
      </c>
      <c r="G150" s="35" t="s">
        <v>23</v>
      </c>
    </row>
    <row r="151" spans="1:7" x14ac:dyDescent="0.25">
      <c r="A151" s="1">
        <v>140</v>
      </c>
      <c r="B151" s="5">
        <v>6.9</v>
      </c>
      <c r="C151">
        <v>3.1</v>
      </c>
      <c r="D151">
        <v>5.4</v>
      </c>
      <c r="E151">
        <v>2.1</v>
      </c>
      <c r="F151" t="s">
        <v>7</v>
      </c>
      <c r="G151" s="35" t="s">
        <v>24</v>
      </c>
    </row>
    <row r="152" spans="1:7" x14ac:dyDescent="0.25">
      <c r="A152" s="1">
        <v>141</v>
      </c>
      <c r="B152" s="5">
        <v>6.7</v>
      </c>
      <c r="C152">
        <v>3.1</v>
      </c>
      <c r="D152">
        <v>5.6</v>
      </c>
      <c r="E152">
        <v>2.4</v>
      </c>
      <c r="F152" t="s">
        <v>7</v>
      </c>
      <c r="G152" s="35" t="s">
        <v>24</v>
      </c>
    </row>
    <row r="153" spans="1:7" x14ac:dyDescent="0.25">
      <c r="A153" s="1">
        <v>142</v>
      </c>
      <c r="B153" s="5">
        <v>6.9</v>
      </c>
      <c r="C153">
        <v>3.1</v>
      </c>
      <c r="D153">
        <v>5.0999999999999996</v>
      </c>
      <c r="E153">
        <v>2.2999999999999998</v>
      </c>
      <c r="F153" t="s">
        <v>7</v>
      </c>
      <c r="G153" s="35" t="s">
        <v>24</v>
      </c>
    </row>
    <row r="154" spans="1:7" x14ac:dyDescent="0.25">
      <c r="A154" s="1">
        <v>143</v>
      </c>
      <c r="B154" s="5">
        <v>5.8</v>
      </c>
      <c r="C154">
        <v>2.7</v>
      </c>
      <c r="D154">
        <v>5.0999999999999996</v>
      </c>
      <c r="E154">
        <v>1.9</v>
      </c>
      <c r="F154" t="s">
        <v>7</v>
      </c>
      <c r="G154" s="35" t="s">
        <v>24</v>
      </c>
    </row>
    <row r="155" spans="1:7" x14ac:dyDescent="0.25">
      <c r="A155" s="1">
        <v>144</v>
      </c>
      <c r="B155" s="5">
        <v>6.8</v>
      </c>
      <c r="C155">
        <v>3.2</v>
      </c>
      <c r="D155">
        <v>5.9</v>
      </c>
      <c r="E155">
        <v>2.2999999999999998</v>
      </c>
      <c r="F155" t="s">
        <v>7</v>
      </c>
      <c r="G155" s="35" t="s">
        <v>24</v>
      </c>
    </row>
    <row r="156" spans="1:7" x14ac:dyDescent="0.25">
      <c r="A156" s="1">
        <v>145</v>
      </c>
      <c r="B156" s="5">
        <v>6.7</v>
      </c>
      <c r="C156">
        <v>3.3</v>
      </c>
      <c r="D156">
        <v>5.7</v>
      </c>
      <c r="E156">
        <v>2.5</v>
      </c>
      <c r="F156" t="s">
        <v>7</v>
      </c>
      <c r="G156" s="35" t="s">
        <v>24</v>
      </c>
    </row>
    <row r="157" spans="1:7" x14ac:dyDescent="0.25">
      <c r="A157" s="1">
        <v>146</v>
      </c>
      <c r="B157" s="5">
        <v>6.7</v>
      </c>
      <c r="C157">
        <v>3</v>
      </c>
      <c r="D157">
        <v>5.2</v>
      </c>
      <c r="E157">
        <v>2.2999999999999998</v>
      </c>
      <c r="F157" t="s">
        <v>7</v>
      </c>
      <c r="G157" s="35" t="s">
        <v>24</v>
      </c>
    </row>
    <row r="158" spans="1:7" x14ac:dyDescent="0.25">
      <c r="A158" s="1">
        <v>147</v>
      </c>
      <c r="B158" s="5">
        <v>6.3</v>
      </c>
      <c r="C158">
        <v>2.5</v>
      </c>
      <c r="D158">
        <v>5</v>
      </c>
      <c r="E158">
        <v>1.9</v>
      </c>
      <c r="F158" t="s">
        <v>7</v>
      </c>
      <c r="G158" s="35" t="s">
        <v>24</v>
      </c>
    </row>
    <row r="159" spans="1:7" x14ac:dyDescent="0.25">
      <c r="A159" s="1">
        <v>148</v>
      </c>
      <c r="B159" s="5">
        <v>6.5</v>
      </c>
      <c r="C159">
        <v>3</v>
      </c>
      <c r="D159">
        <v>5.2</v>
      </c>
      <c r="E159">
        <v>2</v>
      </c>
      <c r="F159" t="s">
        <v>7</v>
      </c>
      <c r="G159" s="35" t="s">
        <v>24</v>
      </c>
    </row>
    <row r="160" spans="1:7" x14ac:dyDescent="0.25">
      <c r="A160" s="1">
        <v>149</v>
      </c>
      <c r="B160" s="5">
        <v>6.2</v>
      </c>
      <c r="C160">
        <v>3.4</v>
      </c>
      <c r="D160">
        <v>5.4</v>
      </c>
      <c r="E160">
        <v>2.2999999999999998</v>
      </c>
      <c r="F160" t="s">
        <v>7</v>
      </c>
      <c r="G160" s="35" t="s">
        <v>24</v>
      </c>
    </row>
    <row r="161" spans="1:7" x14ac:dyDescent="0.25">
      <c r="A161" s="1">
        <v>150</v>
      </c>
      <c r="B161" s="9">
        <v>5.9</v>
      </c>
      <c r="C161" s="10">
        <v>3</v>
      </c>
      <c r="D161" s="10">
        <v>5.0999999999999996</v>
      </c>
      <c r="E161" s="10">
        <v>1.8</v>
      </c>
      <c r="F161" s="32" t="s">
        <v>7</v>
      </c>
      <c r="G161" s="36" t="s">
        <v>24</v>
      </c>
    </row>
  </sheetData>
  <mergeCells count="14">
    <mergeCell ref="Z10:AC10"/>
    <mergeCell ref="AD10:AG10"/>
    <mergeCell ref="AH10:AK10"/>
    <mergeCell ref="AL10:AO10"/>
    <mergeCell ref="I77:L77"/>
    <mergeCell ref="M77:P77"/>
    <mergeCell ref="Q77:T77"/>
    <mergeCell ref="U77:X77"/>
    <mergeCell ref="N3:R3"/>
    <mergeCell ref="B8:C8"/>
    <mergeCell ref="I10:L10"/>
    <mergeCell ref="M10:P10"/>
    <mergeCell ref="Q10:T10"/>
    <mergeCell ref="U10:X10"/>
  </mergeCells>
  <conditionalFormatting sqref="G12:G61">
    <cfRule type="notContainsText" dxfId="4" priority="3" operator="notContains" text="Klasa 1">
      <formula>ISERROR(SEARCH("Klasa 1",G12))</formula>
    </cfRule>
    <cfRule type="notContainsText" dxfId="3" priority="5" operator="notContains" text="Klasa 1">
      <formula>ISERROR(SEARCH("Klasa 1",G12))</formula>
    </cfRule>
  </conditionalFormatting>
  <conditionalFormatting sqref="G12:G161">
    <cfRule type="containsText" dxfId="2" priority="4" operator="containsText" text="Brak danych">
      <formula>NOT(ISERROR(SEARCH("Brak danych",G12)))</formula>
    </cfRule>
  </conditionalFormatting>
  <conditionalFormatting sqref="G62:G111">
    <cfRule type="notContainsText" dxfId="1" priority="2" operator="notContains" text="Klasa 2">
      <formula>ISERROR(SEARCH("Klasa 2",G62))</formula>
    </cfRule>
  </conditionalFormatting>
  <conditionalFormatting sqref="G112:G161">
    <cfRule type="notContainsText" dxfId="0" priority="1" operator="notContains" text="Klasa 3">
      <formula>ISERROR(SEARCH("Klasa 3",G112))</formula>
    </cfRule>
  </conditionalFormatting>
  <pageMargins left="0.7" right="0.7" top="0.75" bottom="0.75" header="0.3" footer="0.3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</dc:creator>
  <cp:lastModifiedBy>User</cp:lastModifiedBy>
  <dcterms:created xsi:type="dcterms:W3CDTF">2015-06-05T18:19:34Z</dcterms:created>
  <dcterms:modified xsi:type="dcterms:W3CDTF">2020-04-25T12:55:44Z</dcterms:modified>
</cp:coreProperties>
</file>