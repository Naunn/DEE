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Wprowadzenie do eksploracji danych\"/>
    </mc:Choice>
  </mc:AlternateContent>
  <xr:revisionPtr revIDLastSave="0" documentId="8_{60D9DA81-6606-442C-9337-1916419304A8}" xr6:coauthVersionLast="45" xr6:coauthVersionMax="45" xr10:uidLastSave="{00000000-0000-0000-0000-000000000000}"/>
  <bookViews>
    <workbookView xWindow="-120" yWindow="-120" windowWidth="29040" windowHeight="15840" xr2:uid="{BA167445-EBD7-4985-8AC5-F29174144F3B}"/>
  </bookViews>
  <sheets>
    <sheet name="Metod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1" l="1" a="1"/>
  <c r="P17" i="1" s="1"/>
  <c r="Q17" i="1" a="1"/>
  <c r="Q17" i="1" s="1"/>
  <c r="Q18" i="1" l="1"/>
  <c r="P18" i="1"/>
  <c r="P8" i="1" a="1"/>
  <c r="P8" i="1" s="1"/>
  <c r="P21" i="1" s="1" a="1"/>
  <c r="P21" i="1" s="1"/>
  <c r="N13" i="1"/>
  <c r="N12" i="1"/>
  <c r="N16" i="1" s="1"/>
  <c r="M13" i="1"/>
  <c r="M12" i="1"/>
  <c r="N9" i="1"/>
  <c r="N17" i="1" s="1"/>
  <c r="M9" i="1"/>
  <c r="M17" i="1" s="1"/>
  <c r="M20" i="1" s="1" a="1"/>
  <c r="M20" i="1" s="1"/>
  <c r="N8" i="1"/>
  <c r="M8" i="1"/>
  <c r="M16" i="1" s="1"/>
  <c r="O4" i="1"/>
  <c r="N5" i="1"/>
  <c r="M5" i="1"/>
  <c r="M4" i="1"/>
  <c r="N4" i="1" s="1"/>
  <c r="L5" i="1"/>
  <c r="O5" i="1" s="1"/>
  <c r="L4" i="1"/>
  <c r="Q21" i="1" l="1"/>
  <c r="O34" i="1" s="1" a="1"/>
  <c r="O34" i="1" s="1"/>
  <c r="P11" i="1" a="1"/>
  <c r="P11" i="1" s="1"/>
  <c r="P24" i="1" s="1" a="1"/>
  <c r="P14" i="1" a="1"/>
  <c r="P14" i="1" s="1"/>
  <c r="N21" i="1"/>
  <c r="M21" i="1"/>
  <c r="N20" i="1"/>
  <c r="L35" i="1" s="1" a="1"/>
  <c r="L35" i="1" s="1"/>
  <c r="U14" i="1"/>
  <c r="T14" i="1"/>
  <c r="U13" i="1"/>
  <c r="T13" i="1"/>
  <c r="U9" i="1"/>
  <c r="U18" i="1" s="1"/>
  <c r="T9" i="1"/>
  <c r="T18" i="1" s="1"/>
  <c r="U8" i="1"/>
  <c r="T8" i="1"/>
  <c r="P24" i="1" l="1"/>
  <c r="Q24" i="1"/>
  <c r="L25" i="1" a="1"/>
  <c r="T17" i="1"/>
  <c r="L34" i="1" a="1"/>
  <c r="L34" i="1" s="1"/>
  <c r="L36" i="1" s="1"/>
  <c r="U17" i="1"/>
  <c r="O35" i="1" l="1" a="1"/>
  <c r="O35" i="1" s="1"/>
  <c r="O36" i="1" s="1"/>
  <c r="T21" i="1" a="1"/>
  <c r="L25" i="1"/>
  <c r="L26" i="1"/>
  <c r="U5" i="1"/>
  <c r="T5" i="1"/>
  <c r="U4" i="1"/>
  <c r="Y27" i="1" s="1"/>
  <c r="T4" i="1"/>
  <c r="X27" i="1" s="1"/>
  <c r="L30" i="1" l="1" a="1"/>
  <c r="L30" i="1" s="1"/>
  <c r="N26" i="1" a="1"/>
  <c r="N26" i="1" s="1"/>
  <c r="T21" i="1"/>
  <c r="U21" i="1"/>
  <c r="U22" i="1"/>
  <c r="T22" i="1"/>
  <c r="U27" i="1"/>
  <c r="U26" i="1"/>
  <c r="T30" i="1" s="1" a="1"/>
  <c r="T30" i="1" l="1"/>
  <c r="W30" i="1" s="1"/>
  <c r="T31" i="1"/>
  <c r="T34" i="1" l="1"/>
  <c r="T35" i="1"/>
  <c r="T39" i="1"/>
  <c r="T38" i="1"/>
  <c r="T36" i="1"/>
  <c r="T40" i="1"/>
  <c r="T41" i="1"/>
  <c r="T37" i="1"/>
  <c r="T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<sst xmlns="http://schemas.openxmlformats.org/spreadsheetml/2006/main" count="202" uniqueCount="52">
  <si>
    <t>sl</t>
  </si>
  <si>
    <t>sw</t>
  </si>
  <si>
    <t>pl</t>
  </si>
  <si>
    <t>pw</t>
  </si>
  <si>
    <t>Cl</t>
  </si>
  <si>
    <t>Iris-setosa</t>
  </si>
  <si>
    <t>Iris-versicolor</t>
  </si>
  <si>
    <t>x</t>
  </si>
  <si>
    <t>y</t>
  </si>
  <si>
    <t>Mean values</t>
  </si>
  <si>
    <t>Setosa</t>
  </si>
  <si>
    <t>Versicolor</t>
  </si>
  <si>
    <t>Cov</t>
  </si>
  <si>
    <t>Cov(Setosa)</t>
  </si>
  <si>
    <t>Cov(Versicolor)</t>
  </si>
  <si>
    <t>mi0</t>
  </si>
  <si>
    <t>mi1</t>
  </si>
  <si>
    <t>mi1-mi0</t>
  </si>
  <si>
    <t>Cov^-1</t>
  </si>
  <si>
    <t>w</t>
  </si>
  <si>
    <t>c</t>
  </si>
  <si>
    <t>1/2(mi0+mi1)^T</t>
  </si>
  <si>
    <t>xw1+yw2-c=0</t>
  </si>
  <si>
    <t>y=(c-xw1)/w2</t>
  </si>
  <si>
    <t>1/2(mi0+mi1)^T*w</t>
  </si>
  <si>
    <t>Wartości średnie cech</t>
  </si>
  <si>
    <t>sl (x)</t>
  </si>
  <si>
    <t>sw (y)</t>
  </si>
  <si>
    <t>Klasa 0</t>
  </si>
  <si>
    <t>Klasa 0 (Se)</t>
  </si>
  <si>
    <t>Klasa 1 (Ve)</t>
  </si>
  <si>
    <t>mi_0 (śr)</t>
  </si>
  <si>
    <t>mi_1 (śr)</t>
  </si>
  <si>
    <t>mi_1-mi_0</t>
  </si>
  <si>
    <t>1/2(mi_0+mi_1)</t>
  </si>
  <si>
    <t>Maciecze kowariancji</t>
  </si>
  <si>
    <t>Klasa 1</t>
  </si>
  <si>
    <t>mi_0^T</t>
  </si>
  <si>
    <t>mi_1^T</t>
  </si>
  <si>
    <t>Uwspólniona macierz</t>
  </si>
  <si>
    <t>(śr z klas)</t>
  </si>
  <si>
    <t>Uwspólniona macierz odwrócona</t>
  </si>
  <si>
    <t>1/2(mi_0+mi_1)^T</t>
  </si>
  <si>
    <t>Parametry</t>
  </si>
  <si>
    <t>LDA_1</t>
  </si>
  <si>
    <t>LDA_2</t>
  </si>
  <si>
    <t>QDA</t>
  </si>
  <si>
    <t>Klasyfikacja</t>
  </si>
  <si>
    <t>(x-mi_0)^T</t>
  </si>
  <si>
    <t>(x-mi_1)^T</t>
  </si>
  <si>
    <t>x-mi_0</t>
  </si>
  <si>
    <t>x-mi_1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</si>
</sst>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</font>
    <font>
      <sz val="11"/>
      <color rgb="FF9C0006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</borders>
  <cellStyleXfs count="3">
    <xf numFmtId="0" fontId="0" fillId="0" borderId="0"/>
    <xf numFmtId="0" fontId="2" fillId="3" borderId="0" applyNumberFormat="0" applyBorder="0" applyAlignment="0" applyProtection="0"/>
    <xf numFmtId="0" fontId="3" fillId="4" borderId="3" applyNumberFormat="0" applyAlignment="0" applyProtection="0"/>
  </cellStyleXfs>
  <cellXfs count="5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0" fontId="0" fillId="0" borderId="0" xfId="0" applyFill="1" applyBorder="1"/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4" fillId="0" borderId="4" xfId="0" applyFont="1" applyBorder="1" applyAlignment="1">
      <alignment vertical="center"/>
    </xf>
    <xf numFmtId="0" fontId="4" fillId="0" borderId="4" xfId="0" applyFont="1" applyBorder="1" applyAlignment="1"/>
    <xf numFmtId="0" fontId="4" fillId="0" borderId="4" xfId="0" applyFont="1" applyBorder="1"/>
    <xf numFmtId="0" fontId="4" fillId="0" borderId="7" xfId="0" applyFont="1" applyBorder="1"/>
    <xf numFmtId="0" fontId="3" fillId="4" borderId="3" xfId="2"/>
    <xf numFmtId="164" fontId="3" fillId="4" borderId="3" xfId="2" applyNumberFormat="1"/>
    <xf numFmtId="0" fontId="4" fillId="0" borderId="1" xfId="0" applyFont="1" applyBorder="1"/>
    <xf numFmtId="0" fontId="4" fillId="0" borderId="0" xfId="0" applyFont="1"/>
    <xf numFmtId="0" fontId="4" fillId="0" borderId="9" xfId="0" applyFont="1" applyBorder="1"/>
    <xf numFmtId="0" fontId="4" fillId="0" borderId="10" xfId="0" applyFont="1" applyBorder="1"/>
    <xf numFmtId="0" fontId="4" fillId="0" borderId="6" xfId="0" applyFont="1" applyBorder="1"/>
    <xf numFmtId="0" fontId="4" fillId="0" borderId="11" xfId="0" applyFont="1" applyBorder="1"/>
    <xf numFmtId="0" fontId="0" fillId="0" borderId="14" xfId="0" applyBorder="1"/>
    <xf numFmtId="0" fontId="1" fillId="0" borderId="12" xfId="0" applyFont="1" applyFill="1" applyBorder="1" applyAlignment="1">
      <alignment horizontal="left" vertical="center"/>
    </xf>
    <xf numFmtId="0" fontId="4" fillId="0" borderId="13" xfId="0" applyFont="1" applyBorder="1"/>
    <xf numFmtId="0" fontId="4" fillId="0" borderId="12" xfId="0" applyFont="1" applyBorder="1"/>
    <xf numFmtId="0" fontId="4" fillId="0" borderId="15" xfId="0" applyFont="1" applyBorder="1"/>
    <xf numFmtId="0" fontId="3" fillId="4" borderId="16" xfId="2" applyBorder="1"/>
    <xf numFmtId="0" fontId="4" fillId="0" borderId="1" xfId="0" applyFont="1" applyFill="1" applyBorder="1"/>
    <xf numFmtId="0" fontId="0" fillId="0" borderId="10" xfId="0" applyBorder="1"/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8" xfId="0" applyBorder="1"/>
    <xf numFmtId="0" fontId="1" fillId="0" borderId="1" xfId="0" applyFont="1" applyFill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0" fillId="0" borderId="10" xfId="0" applyFill="1" applyBorder="1"/>
    <xf numFmtId="0" fontId="0" fillId="0" borderId="6" xfId="0" applyFill="1" applyBorder="1"/>
    <xf numFmtId="0" fontId="3" fillId="4" borderId="1" xfId="2" applyBorder="1"/>
    <xf numFmtId="0" fontId="4" fillId="0" borderId="19" xfId="0" applyFont="1" applyBorder="1" applyAlignment="1">
      <alignment horizontal="center"/>
    </xf>
    <xf numFmtId="0" fontId="0" fillId="0" borderId="13" xfId="0" applyFont="1" applyBorder="1" applyAlignment="1">
      <alignment horizontal="left"/>
    </xf>
    <xf numFmtId="0" fontId="4" fillId="0" borderId="20" xfId="0" applyFont="1" applyBorder="1" applyAlignment="1">
      <alignment horizontal="center"/>
    </xf>
    <xf numFmtId="0" fontId="0" fillId="0" borderId="1" xfId="0" applyFont="1" applyBorder="1"/>
    <xf numFmtId="0" fontId="0" fillId="0" borderId="21" xfId="0" applyFont="1" applyBorder="1" applyAlignment="1">
      <alignment horizontal="left"/>
    </xf>
    <xf numFmtId="0" fontId="2" fillId="3" borderId="0" xfId="1" applyBorder="1"/>
    <xf numFmtId="0" fontId="3" fillId="4" borderId="17" xfId="2" applyBorder="1"/>
    <xf numFmtId="0" fontId="3" fillId="4" borderId="22" xfId="2" applyBorder="1"/>
    <xf numFmtId="0" fontId="4" fillId="0" borderId="1" xfId="0" applyFont="1" applyBorder="1" applyAlignment="1">
      <alignment horizontal="center"/>
    </xf>
    <xf numFmtId="0" fontId="0" fillId="0" borderId="9" xfId="0" applyBorder="1"/>
    <xf numFmtId="0" fontId="2" fillId="3" borderId="5" xfId="1" applyBorder="1"/>
    <xf numFmtId="0" fontId="4" fillId="0" borderId="18" xfId="0" applyFont="1" applyBorder="1"/>
  </cellXfs>
  <cellStyles count="3">
    <cellStyle name="Dane wejściowe" xfId="2" builtinId="20"/>
    <cellStyle name="Normalny" xfId="0" builtinId="0"/>
    <cellStyle name="Zły" xfId="1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4"/>
          <c:tx>
            <c:v>LDA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Metody!$S$34:$S$42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cat>
          <c:val>
            <c:numRef>
              <c:f>Metody!$T$34:$T$42</c:f>
              <c:numCache>
                <c:formatCode>General</c:formatCode>
                <c:ptCount val="9"/>
                <c:pt idx="0">
                  <c:v>-1.3632334625982552</c:v>
                </c:pt>
                <c:pt idx="1">
                  <c:v>-0.54853167817159554</c:v>
                </c:pt>
                <c:pt idx="2">
                  <c:v>0.26617010625506415</c:v>
                </c:pt>
                <c:pt idx="3">
                  <c:v>1.0808718906817238</c:v>
                </c:pt>
                <c:pt idx="4">
                  <c:v>1.8955736751083836</c:v>
                </c:pt>
                <c:pt idx="5">
                  <c:v>2.7102754595350431</c:v>
                </c:pt>
                <c:pt idx="6">
                  <c:v>3.5249772439617031</c:v>
                </c:pt>
                <c:pt idx="7">
                  <c:v>4.3396790283883622</c:v>
                </c:pt>
                <c:pt idx="8">
                  <c:v>5.154380812815023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81-497A-A4B2-A2563A311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496640"/>
        <c:axId val="469495328"/>
      </c:lineChart>
      <c:scatterChart>
        <c:scatterStyle val="lineMarker"/>
        <c:varyColors val="0"/>
        <c:ser>
          <c:idx val="2"/>
          <c:order val="0"/>
          <c:tx>
            <c:strRef>
              <c:f>Metody!$D$8</c:f>
              <c:strCache>
                <c:ptCount val="1"/>
                <c:pt idx="0">
                  <c:v>pl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Metody!$A$9:$A$108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Metody!$D$9:$D$108</c:f>
            </c:numRef>
          </c:yVal>
          <c:smooth val="0"/>
          <c:extLst>
            <c:ext xmlns:c16="http://schemas.microsoft.com/office/drawing/2014/chart" uri="{C3380CC4-5D6E-409C-BE32-E72D297353CC}">
              <c16:uniqueId val="{00000002-7D81-497A-A4B2-A2563A311629}"/>
            </c:ext>
          </c:extLst>
        </c:ser>
        <c:ser>
          <c:idx val="1"/>
          <c:order val="3"/>
          <c:tx>
            <c:v>Versicolor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Metody!$B$59:$B$108</c:f>
              <c:numCache>
                <c:formatCode>General</c:formatCode>
                <c:ptCount val="50"/>
                <c:pt idx="0">
                  <c:v>7</c:v>
                </c:pt>
                <c:pt idx="1">
                  <c:v>6.4</c:v>
                </c:pt>
                <c:pt idx="2">
                  <c:v>6.9</c:v>
                </c:pt>
                <c:pt idx="3">
                  <c:v>5.5</c:v>
                </c:pt>
                <c:pt idx="4">
                  <c:v>6.5</c:v>
                </c:pt>
                <c:pt idx="5">
                  <c:v>5.7</c:v>
                </c:pt>
                <c:pt idx="6">
                  <c:v>6.3</c:v>
                </c:pt>
                <c:pt idx="7">
                  <c:v>4.9000000000000004</c:v>
                </c:pt>
                <c:pt idx="8">
                  <c:v>6.6</c:v>
                </c:pt>
                <c:pt idx="9">
                  <c:v>5.2</c:v>
                </c:pt>
                <c:pt idx="10">
                  <c:v>5</c:v>
                </c:pt>
                <c:pt idx="11">
                  <c:v>5.9</c:v>
                </c:pt>
                <c:pt idx="12">
                  <c:v>6</c:v>
                </c:pt>
                <c:pt idx="13">
                  <c:v>6.1</c:v>
                </c:pt>
                <c:pt idx="14">
                  <c:v>5.6</c:v>
                </c:pt>
                <c:pt idx="15">
                  <c:v>6.7</c:v>
                </c:pt>
                <c:pt idx="16">
                  <c:v>5.6</c:v>
                </c:pt>
                <c:pt idx="17">
                  <c:v>5.8</c:v>
                </c:pt>
                <c:pt idx="18">
                  <c:v>6.2</c:v>
                </c:pt>
                <c:pt idx="19">
                  <c:v>5.6</c:v>
                </c:pt>
                <c:pt idx="20">
                  <c:v>5.9</c:v>
                </c:pt>
                <c:pt idx="21">
                  <c:v>6.1</c:v>
                </c:pt>
                <c:pt idx="22">
                  <c:v>6.3</c:v>
                </c:pt>
                <c:pt idx="23">
                  <c:v>6.1</c:v>
                </c:pt>
                <c:pt idx="24">
                  <c:v>6.4</c:v>
                </c:pt>
                <c:pt idx="25">
                  <c:v>6.6</c:v>
                </c:pt>
                <c:pt idx="26">
                  <c:v>6.8</c:v>
                </c:pt>
                <c:pt idx="27">
                  <c:v>6.7</c:v>
                </c:pt>
                <c:pt idx="28">
                  <c:v>6</c:v>
                </c:pt>
                <c:pt idx="29">
                  <c:v>5.7</c:v>
                </c:pt>
                <c:pt idx="30">
                  <c:v>5.5</c:v>
                </c:pt>
                <c:pt idx="31">
                  <c:v>5.5</c:v>
                </c:pt>
                <c:pt idx="32">
                  <c:v>5.8</c:v>
                </c:pt>
                <c:pt idx="33">
                  <c:v>6</c:v>
                </c:pt>
                <c:pt idx="34">
                  <c:v>5.4</c:v>
                </c:pt>
                <c:pt idx="35">
                  <c:v>6</c:v>
                </c:pt>
                <c:pt idx="36">
                  <c:v>6.7</c:v>
                </c:pt>
                <c:pt idx="37">
                  <c:v>6.3</c:v>
                </c:pt>
                <c:pt idx="38">
                  <c:v>5.6</c:v>
                </c:pt>
                <c:pt idx="39">
                  <c:v>5.5</c:v>
                </c:pt>
                <c:pt idx="40">
                  <c:v>5.5</c:v>
                </c:pt>
                <c:pt idx="41">
                  <c:v>6.1</c:v>
                </c:pt>
                <c:pt idx="42">
                  <c:v>5.8</c:v>
                </c:pt>
                <c:pt idx="43">
                  <c:v>5</c:v>
                </c:pt>
                <c:pt idx="44">
                  <c:v>5.6</c:v>
                </c:pt>
                <c:pt idx="45">
                  <c:v>5.7</c:v>
                </c:pt>
                <c:pt idx="46">
                  <c:v>5.7</c:v>
                </c:pt>
                <c:pt idx="47">
                  <c:v>6.2</c:v>
                </c:pt>
                <c:pt idx="48">
                  <c:v>5.0999999999999996</c:v>
                </c:pt>
                <c:pt idx="49">
                  <c:v>5.7</c:v>
                </c:pt>
              </c:numCache>
            </c:numRef>
          </c:xVal>
          <c:yVal>
            <c:numRef>
              <c:f>Metody!$C$59:$C$108</c:f>
              <c:numCache>
                <c:formatCode>General</c:formatCode>
                <c:ptCount val="50"/>
                <c:pt idx="0">
                  <c:v>3.2</c:v>
                </c:pt>
                <c:pt idx="1">
                  <c:v>3.2</c:v>
                </c:pt>
                <c:pt idx="2">
                  <c:v>3.1</c:v>
                </c:pt>
                <c:pt idx="3">
                  <c:v>2.2999999999999998</c:v>
                </c:pt>
                <c:pt idx="4">
                  <c:v>2.8</c:v>
                </c:pt>
                <c:pt idx="5">
                  <c:v>2.8</c:v>
                </c:pt>
                <c:pt idx="6">
                  <c:v>3.3</c:v>
                </c:pt>
                <c:pt idx="7">
                  <c:v>2.4</c:v>
                </c:pt>
                <c:pt idx="8">
                  <c:v>2.9</c:v>
                </c:pt>
                <c:pt idx="9">
                  <c:v>2.7</c:v>
                </c:pt>
                <c:pt idx="10">
                  <c:v>2</c:v>
                </c:pt>
                <c:pt idx="11">
                  <c:v>3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2.9</c:v>
                </c:pt>
                <c:pt idx="15">
                  <c:v>3.1</c:v>
                </c:pt>
                <c:pt idx="16">
                  <c:v>3</c:v>
                </c:pt>
                <c:pt idx="17">
                  <c:v>2.7</c:v>
                </c:pt>
                <c:pt idx="18">
                  <c:v>2.2000000000000002</c:v>
                </c:pt>
                <c:pt idx="19">
                  <c:v>2.5</c:v>
                </c:pt>
                <c:pt idx="20">
                  <c:v>3.2</c:v>
                </c:pt>
                <c:pt idx="21">
                  <c:v>2.8</c:v>
                </c:pt>
                <c:pt idx="22">
                  <c:v>2.5</c:v>
                </c:pt>
                <c:pt idx="23">
                  <c:v>2.8</c:v>
                </c:pt>
                <c:pt idx="24">
                  <c:v>2.9</c:v>
                </c:pt>
                <c:pt idx="25">
                  <c:v>3</c:v>
                </c:pt>
                <c:pt idx="26">
                  <c:v>2.8</c:v>
                </c:pt>
                <c:pt idx="27">
                  <c:v>3</c:v>
                </c:pt>
                <c:pt idx="28">
                  <c:v>2.9</c:v>
                </c:pt>
                <c:pt idx="29">
                  <c:v>2.6</c:v>
                </c:pt>
                <c:pt idx="30">
                  <c:v>2.4</c:v>
                </c:pt>
                <c:pt idx="31">
                  <c:v>2.4</c:v>
                </c:pt>
                <c:pt idx="32">
                  <c:v>2.7</c:v>
                </c:pt>
                <c:pt idx="33">
                  <c:v>2.7</c:v>
                </c:pt>
                <c:pt idx="34">
                  <c:v>3</c:v>
                </c:pt>
                <c:pt idx="35">
                  <c:v>3.4</c:v>
                </c:pt>
                <c:pt idx="36">
                  <c:v>3.1</c:v>
                </c:pt>
                <c:pt idx="37">
                  <c:v>2.2999999999999998</c:v>
                </c:pt>
                <c:pt idx="38">
                  <c:v>3</c:v>
                </c:pt>
                <c:pt idx="39">
                  <c:v>2.5</c:v>
                </c:pt>
                <c:pt idx="40">
                  <c:v>2.6</c:v>
                </c:pt>
                <c:pt idx="41">
                  <c:v>3</c:v>
                </c:pt>
                <c:pt idx="42">
                  <c:v>2.6</c:v>
                </c:pt>
                <c:pt idx="43">
                  <c:v>2.2999999999999998</c:v>
                </c:pt>
                <c:pt idx="44">
                  <c:v>2.7</c:v>
                </c:pt>
                <c:pt idx="45">
                  <c:v>3</c:v>
                </c:pt>
                <c:pt idx="46">
                  <c:v>2.9</c:v>
                </c:pt>
                <c:pt idx="47">
                  <c:v>2.9</c:v>
                </c:pt>
                <c:pt idx="48">
                  <c:v>2.5</c:v>
                </c:pt>
                <c:pt idx="49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81-497A-A4B2-A2563A311629}"/>
            </c:ext>
          </c:extLst>
        </c:ser>
        <c:ser>
          <c:idx val="3"/>
          <c:order val="1"/>
          <c:tx>
            <c:strRef>
              <c:f>Metody!$E$8</c:f>
              <c:strCache>
                <c:ptCount val="1"/>
                <c:pt idx="0">
                  <c:v>pw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Metody!$A$9:$A$108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Metody!$E$9:$E$108</c:f>
            </c:numRef>
          </c:yVal>
          <c:smooth val="0"/>
          <c:extLst>
            <c:ext xmlns:c16="http://schemas.microsoft.com/office/drawing/2014/chart" uri="{C3380CC4-5D6E-409C-BE32-E72D297353CC}">
              <c16:uniqueId val="{00000003-7D81-497A-A4B2-A2563A311629}"/>
            </c:ext>
          </c:extLst>
        </c:ser>
        <c:ser>
          <c:idx val="0"/>
          <c:order val="2"/>
          <c:tx>
            <c:v>Setosa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Metody!$B$9:$B$58</c:f>
              <c:numCache>
                <c:formatCode>General</c:formatCode>
                <c:ptCount val="50"/>
                <c:pt idx="0">
                  <c:v>5.0999999999999996</c:v>
                </c:pt>
                <c:pt idx="1">
                  <c:v>4.9000000000000004</c:v>
                </c:pt>
                <c:pt idx="2">
                  <c:v>4.7</c:v>
                </c:pt>
                <c:pt idx="3">
                  <c:v>4.5999999999999996</c:v>
                </c:pt>
                <c:pt idx="4">
                  <c:v>5</c:v>
                </c:pt>
                <c:pt idx="5">
                  <c:v>5.4</c:v>
                </c:pt>
                <c:pt idx="6">
                  <c:v>4.5999999999999996</c:v>
                </c:pt>
                <c:pt idx="7">
                  <c:v>5</c:v>
                </c:pt>
                <c:pt idx="8">
                  <c:v>4.4000000000000004</c:v>
                </c:pt>
                <c:pt idx="9">
                  <c:v>4.9000000000000004</c:v>
                </c:pt>
                <c:pt idx="10">
                  <c:v>5.4</c:v>
                </c:pt>
                <c:pt idx="11">
                  <c:v>4.8</c:v>
                </c:pt>
                <c:pt idx="12">
                  <c:v>4.8</c:v>
                </c:pt>
                <c:pt idx="13">
                  <c:v>4.3</c:v>
                </c:pt>
                <c:pt idx="14">
                  <c:v>5.8</c:v>
                </c:pt>
                <c:pt idx="15">
                  <c:v>5.7</c:v>
                </c:pt>
                <c:pt idx="16">
                  <c:v>5.4</c:v>
                </c:pt>
                <c:pt idx="17">
                  <c:v>5.0999999999999996</c:v>
                </c:pt>
                <c:pt idx="18">
                  <c:v>5.7</c:v>
                </c:pt>
                <c:pt idx="19">
                  <c:v>5.0999999999999996</c:v>
                </c:pt>
                <c:pt idx="20">
                  <c:v>5.4</c:v>
                </c:pt>
                <c:pt idx="21">
                  <c:v>5.0999999999999996</c:v>
                </c:pt>
                <c:pt idx="22">
                  <c:v>4.5999999999999996</c:v>
                </c:pt>
                <c:pt idx="23">
                  <c:v>5.0999999999999996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5.2</c:v>
                </c:pt>
                <c:pt idx="28">
                  <c:v>5.2</c:v>
                </c:pt>
                <c:pt idx="29">
                  <c:v>4.7</c:v>
                </c:pt>
                <c:pt idx="30">
                  <c:v>4.8</c:v>
                </c:pt>
                <c:pt idx="31">
                  <c:v>5.4</c:v>
                </c:pt>
                <c:pt idx="32">
                  <c:v>5.2</c:v>
                </c:pt>
                <c:pt idx="33">
                  <c:v>5.5</c:v>
                </c:pt>
                <c:pt idx="34">
                  <c:v>4.9000000000000004</c:v>
                </c:pt>
                <c:pt idx="35">
                  <c:v>5</c:v>
                </c:pt>
                <c:pt idx="36">
                  <c:v>5.5</c:v>
                </c:pt>
                <c:pt idx="37">
                  <c:v>4.9000000000000004</c:v>
                </c:pt>
                <c:pt idx="38">
                  <c:v>4.4000000000000004</c:v>
                </c:pt>
                <c:pt idx="39">
                  <c:v>5.0999999999999996</c:v>
                </c:pt>
                <c:pt idx="40">
                  <c:v>5</c:v>
                </c:pt>
                <c:pt idx="41">
                  <c:v>4.5</c:v>
                </c:pt>
                <c:pt idx="42">
                  <c:v>4.4000000000000004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4.8</c:v>
                </c:pt>
                <c:pt idx="46">
                  <c:v>5.0999999999999996</c:v>
                </c:pt>
                <c:pt idx="47">
                  <c:v>4.5999999999999996</c:v>
                </c:pt>
                <c:pt idx="48">
                  <c:v>5.3</c:v>
                </c:pt>
                <c:pt idx="49">
                  <c:v>5</c:v>
                </c:pt>
              </c:numCache>
            </c:numRef>
          </c:xVal>
          <c:yVal>
            <c:numRef>
              <c:f>Metody!$C$9:$C$58</c:f>
              <c:numCache>
                <c:formatCode>General</c:formatCode>
                <c:ptCount val="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81-497A-A4B2-A2563A311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390624"/>
        <c:axId val="471386032"/>
      </c:scatterChart>
      <c:catAx>
        <c:axId val="46949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69495328"/>
        <c:crosses val="autoZero"/>
        <c:auto val="1"/>
        <c:lblAlgn val="ctr"/>
        <c:lblOffset val="100"/>
        <c:noMultiLvlLbl val="0"/>
      </c:catAx>
      <c:valAx>
        <c:axId val="46949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69496640"/>
        <c:crosses val="autoZero"/>
        <c:crossBetween val="between"/>
      </c:valAx>
      <c:valAx>
        <c:axId val="471386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1390624"/>
        <c:crosses val="max"/>
        <c:crossBetween val="midCat"/>
      </c:valAx>
      <c:valAx>
        <c:axId val="47139062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1386032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157163</xdr:colOff>
      <xdr:row>42</xdr:row>
      <xdr:rowOff>69054</xdr:rowOff>
    </xdr:from>
    <xdr:to>
      <xdr:col>28</xdr:col>
      <xdr:colOff>578644</xdr:colOff>
      <xdr:row>60</xdr:row>
      <xdr:rowOff>130967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FD47191-8B0E-475D-B55F-BEDDE3D5A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107156</xdr:colOff>
      <xdr:row>0</xdr:row>
      <xdr:rowOff>119061</xdr:rowOff>
    </xdr:from>
    <xdr:to>
      <xdr:col>2</xdr:col>
      <xdr:colOff>414337</xdr:colOff>
      <xdr:row>5</xdr:row>
      <xdr:rowOff>69055</xdr:rowOff>
    </xdr:to>
    <xdr:pic macro="[0]!Klasyfikacja">
      <xdr:nvPicPr>
        <xdr:cNvPr id="4" name="Grafika 3" descr="Koła zębate">
          <a:extLst>
            <a:ext uri="{FF2B5EF4-FFF2-40B4-BE49-F238E27FC236}">
              <a16:creationId xmlns:a16="http://schemas.microsoft.com/office/drawing/2014/main" id="{8881BC98-7E3A-4A4A-828D-F30F77751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14375" y="119061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BA149-AB3A-4487-B7B4-FE3EC6F00D6A}">
  <sheetPr codeName="Arkusz1"/>
  <dimension ref="A2:Z158"/>
  <sheetViews>
    <sheetView tabSelected="1" zoomScale="80" zoomScaleNormal="80" workbookViewId="0">
      <selection activeCell="K43" sqref="K43"/>
    </sheetView>
  </sheetViews>
  <sheetFormatPr defaultRowHeight="15" x14ac:dyDescent="0.25"/>
  <cols>
    <col min="3" max="3" width="9.140625" customWidth="1"/>
    <col min="4" max="4" width="4.42578125" hidden="1" customWidth="1"/>
    <col min="5" max="5" width="0.28515625" hidden="1" customWidth="1"/>
    <col min="6" max="6" width="14.85546875" customWidth="1"/>
    <col min="7" max="8" width="7" bestFit="1" customWidth="1"/>
    <col min="9" max="9" width="5.28515625" bestFit="1" customWidth="1"/>
    <col min="10" max="10" width="12.7109375" bestFit="1" customWidth="1"/>
    <col min="11" max="11" width="31" customWidth="1"/>
    <col min="12" max="13" width="13.7109375" bestFit="1" customWidth="1"/>
    <col min="14" max="14" width="18.7109375" bestFit="1" customWidth="1"/>
    <col min="15" max="15" width="16.28515625" bestFit="1" customWidth="1"/>
    <col min="16" max="16" width="11.28515625" customWidth="1"/>
    <col min="17" max="17" width="7.42578125" bestFit="1" customWidth="1"/>
  </cols>
  <sheetData>
    <row r="2" spans="1:26" ht="15.75" thickBot="1" x14ac:dyDescent="0.3">
      <c r="K2" s="12" t="s">
        <v>25</v>
      </c>
      <c r="L2" s="13" t="s">
        <v>29</v>
      </c>
      <c r="M2" s="14" t="s">
        <v>30</v>
      </c>
    </row>
    <row r="3" spans="1:26" x14ac:dyDescent="0.25">
      <c r="K3" s="11"/>
      <c r="L3" t="s">
        <v>31</v>
      </c>
      <c r="M3" t="s">
        <v>32</v>
      </c>
      <c r="N3" t="s">
        <v>33</v>
      </c>
      <c r="O3" t="s">
        <v>34</v>
      </c>
      <c r="S3" s="5" t="s">
        <v>9</v>
      </c>
      <c r="T3" s="5" t="s">
        <v>0</v>
      </c>
      <c r="U3" s="5" t="s">
        <v>1</v>
      </c>
      <c r="Y3" s="6" t="s">
        <v>15</v>
      </c>
      <c r="Z3" s="6" t="s">
        <v>16</v>
      </c>
    </row>
    <row r="4" spans="1:26" x14ac:dyDescent="0.25">
      <c r="K4" s="15" t="s">
        <v>26</v>
      </c>
      <c r="L4" s="16">
        <f>AVERAGE(B9:B58)</f>
        <v>5.0059999999999993</v>
      </c>
      <c r="M4" s="16">
        <f>AVERAGE(B59:B108)</f>
        <v>5.9359999999999999</v>
      </c>
      <c r="N4" s="16">
        <f>M4-L4</f>
        <v>0.9300000000000006</v>
      </c>
      <c r="O4" s="16">
        <f>SUM(L4,M4)/2</f>
        <v>5.4710000000000001</v>
      </c>
      <c r="S4" s="5" t="s">
        <v>10</v>
      </c>
      <c r="T4" s="5">
        <f>AVERAGE(B9:B58)</f>
        <v>5.0059999999999993</v>
      </c>
      <c r="U4" s="5">
        <f>AVERAGE(C9:C58)</f>
        <v>3.4180000000000006</v>
      </c>
      <c r="X4" t="s">
        <v>0</v>
      </c>
      <c r="Y4" s="6">
        <v>5.0059999999999993</v>
      </c>
      <c r="Z4" s="6">
        <v>5.9359999999999999</v>
      </c>
    </row>
    <row r="5" spans="1:26" x14ac:dyDescent="0.25">
      <c r="K5" s="15" t="s">
        <v>27</v>
      </c>
      <c r="L5" s="16">
        <f>AVERAGE(C9:C58)</f>
        <v>3.4180000000000006</v>
      </c>
      <c r="M5" s="17">
        <f>AVERAGE(C59:C108)</f>
        <v>2.7700000000000005</v>
      </c>
      <c r="N5" s="16">
        <f>M5-L5</f>
        <v>-0.64800000000000013</v>
      </c>
      <c r="O5" s="16">
        <f>SUM(L5,M5)/2</f>
        <v>3.0940000000000003</v>
      </c>
      <c r="S5" s="5" t="s">
        <v>11</v>
      </c>
      <c r="T5" s="5">
        <f>AVERAGE(B59:B108)</f>
        <v>5.9359999999999999</v>
      </c>
      <c r="U5" s="5">
        <f>AVERAGE(C59:C108)</f>
        <v>2.7700000000000005</v>
      </c>
      <c r="X5" t="s">
        <v>1</v>
      </c>
      <c r="Y5" s="6">
        <v>3.4180000000000006</v>
      </c>
      <c r="Z5" s="6">
        <v>2.7700000000000005</v>
      </c>
    </row>
    <row r="6" spans="1:26" x14ac:dyDescent="0.25">
      <c r="K6" s="9"/>
    </row>
    <row r="7" spans="1:26" ht="15.75" thickBot="1" x14ac:dyDescent="0.3">
      <c r="B7" t="s">
        <v>7</v>
      </c>
      <c r="C7" t="s">
        <v>8</v>
      </c>
      <c r="K7" s="28" t="s">
        <v>35</v>
      </c>
      <c r="L7" s="21" t="s">
        <v>28</v>
      </c>
      <c r="M7" s="22" t="s">
        <v>0</v>
      </c>
      <c r="N7" s="23" t="s">
        <v>1</v>
      </c>
      <c r="P7" s="30" t="s">
        <v>37</v>
      </c>
      <c r="S7" t="s">
        <v>13</v>
      </c>
      <c r="T7" t="s">
        <v>0</v>
      </c>
      <c r="U7" t="s">
        <v>1</v>
      </c>
    </row>
    <row r="8" spans="1:26" x14ac:dyDescent="0.25">
      <c r="B8" s="2" t="s">
        <v>0</v>
      </c>
      <c r="C8" s="2" t="s">
        <v>1</v>
      </c>
      <c r="D8" s="2" t="s">
        <v>2</v>
      </c>
      <c r="E8" s="2" t="s">
        <v>3</v>
      </c>
      <c r="F8" s="2" t="s">
        <v>4</v>
      </c>
      <c r="G8" s="37" t="s">
        <v>44</v>
      </c>
      <c r="H8" s="39" t="s">
        <v>45</v>
      </c>
      <c r="I8" s="39" t="s">
        <v>46</v>
      </c>
      <c r="L8" s="25" t="s">
        <v>0</v>
      </c>
      <c r="M8" s="16">
        <f>_xlfn.COVARIANCE.P(B9:B58,B9:B58)</f>
        <v>0.12176399999999993</v>
      </c>
      <c r="N8" s="16">
        <f>_xlfn.COVARIANCE.P(B9:B58,C9:C58)</f>
        <v>9.8291999999999963E-2</v>
      </c>
      <c r="P8" s="29" cm="1">
        <f t="array" ref="P8:Q8">TRANSPOSE(L4:L5)</f>
        <v>5.0059999999999993</v>
      </c>
      <c r="Q8" s="16">
        <v>3.4180000000000006</v>
      </c>
      <c r="S8" t="s">
        <v>0</v>
      </c>
      <c r="T8" s="5">
        <f>COVAR(B9:B58,B9:B58)</f>
        <v>0.12176399999999993</v>
      </c>
      <c r="U8" s="5">
        <f>COVAR(B9:B58,C9:C58)</f>
        <v>9.8291999999999963E-2</v>
      </c>
    </row>
    <row r="9" spans="1:26" x14ac:dyDescent="0.25">
      <c r="A9" s="38">
        <v>1</v>
      </c>
      <c r="B9" s="40">
        <v>5.0999999999999996</v>
      </c>
      <c r="C9" s="41">
        <v>3.5</v>
      </c>
      <c r="D9" s="41">
        <v>1.4</v>
      </c>
      <c r="E9" s="41">
        <v>0.2</v>
      </c>
      <c r="F9" s="41" t="s">
        <v>5</v>
      </c>
      <c r="G9">
        <v>0</v>
      </c>
      <c r="H9" s="32">
        <v>0</v>
      </c>
      <c r="I9" s="33">
        <v>0</v>
      </c>
      <c r="L9" s="26" t="s">
        <v>1</v>
      </c>
      <c r="M9" s="16">
        <f>_xlfn.COVARIANCE.P(C9:C58,B9:B58)</f>
        <v>9.8291999999999963E-2</v>
      </c>
      <c r="N9" s="16">
        <f>_xlfn.COVARIANCE.P(C9:C58,C9:C58)</f>
        <v>0.14227600000000001</v>
      </c>
      <c r="S9" t="s">
        <v>1</v>
      </c>
      <c r="T9" s="5">
        <f>COVAR(C9:C58,B9:B58)</f>
        <v>9.8291999999999963E-2</v>
      </c>
      <c r="U9" s="5">
        <f>COVAR(C9:C58,C9:C58)</f>
        <v>0.14227600000000001</v>
      </c>
    </row>
    <row r="10" spans="1:26" x14ac:dyDescent="0.25">
      <c r="A10" s="38">
        <v>2</v>
      </c>
      <c r="B10" s="34">
        <v>4.9000000000000004</v>
      </c>
      <c r="C10" s="9">
        <v>3</v>
      </c>
      <c r="D10" s="9">
        <v>1.4</v>
      </c>
      <c r="E10" s="9">
        <v>0.2</v>
      </c>
      <c r="F10" s="9" t="s">
        <v>5</v>
      </c>
      <c r="G10" s="9">
        <v>0</v>
      </c>
      <c r="H10" s="9">
        <v>0</v>
      </c>
      <c r="I10" s="8">
        <v>0</v>
      </c>
      <c r="L10" s="19"/>
      <c r="P10" s="18" t="s">
        <v>38</v>
      </c>
    </row>
    <row r="11" spans="1:26" x14ac:dyDescent="0.25">
      <c r="A11" s="38">
        <v>3</v>
      </c>
      <c r="B11" s="34">
        <v>4.7</v>
      </c>
      <c r="C11" s="9">
        <v>3.2</v>
      </c>
      <c r="D11" s="9">
        <v>1.3</v>
      </c>
      <c r="E11" s="9">
        <v>0.2</v>
      </c>
      <c r="F11" s="9" t="s">
        <v>5</v>
      </c>
      <c r="G11" s="9">
        <v>0</v>
      </c>
      <c r="H11" s="9">
        <v>0</v>
      </c>
      <c r="I11" s="8">
        <v>0</v>
      </c>
      <c r="L11" s="21" t="s">
        <v>36</v>
      </c>
      <c r="M11" s="22" t="s">
        <v>0</v>
      </c>
      <c r="N11" s="23" t="s">
        <v>1</v>
      </c>
      <c r="P11" s="29" cm="1">
        <f t="array" ref="P11:Q11">TRANSPOSE(M4:M5)</f>
        <v>5.9359999999999999</v>
      </c>
      <c r="Q11" s="17">
        <v>2.7700000000000005</v>
      </c>
    </row>
    <row r="12" spans="1:26" x14ac:dyDescent="0.25">
      <c r="A12" s="38">
        <v>4</v>
      </c>
      <c r="B12" s="34">
        <v>4.5999999999999996</v>
      </c>
      <c r="C12" s="9">
        <v>3.1</v>
      </c>
      <c r="D12" s="9">
        <v>1.5</v>
      </c>
      <c r="E12" s="9">
        <v>0.2</v>
      </c>
      <c r="F12" s="9" t="s">
        <v>5</v>
      </c>
      <c r="G12" s="9">
        <v>0</v>
      </c>
      <c r="H12" s="9">
        <v>0</v>
      </c>
      <c r="I12" s="8">
        <v>0</v>
      </c>
      <c r="L12" s="27" t="s">
        <v>0</v>
      </c>
      <c r="M12" s="16">
        <f>_xlfn.COVARIANCE.P(B59:B108,B59:B108)</f>
        <v>0.26110400000000011</v>
      </c>
      <c r="N12" s="16">
        <f>_xlfn.COVARIANCE.P(B59:B108,C59:C108)</f>
        <v>8.3479999999999985E-2</v>
      </c>
      <c r="S12" t="s">
        <v>14</v>
      </c>
      <c r="T12" t="s">
        <v>0</v>
      </c>
      <c r="U12" t="s">
        <v>1</v>
      </c>
    </row>
    <row r="13" spans="1:26" x14ac:dyDescent="0.25">
      <c r="A13" s="38">
        <v>5</v>
      </c>
      <c r="B13" s="34">
        <v>5</v>
      </c>
      <c r="C13" s="9">
        <v>3.6</v>
      </c>
      <c r="D13" s="9">
        <v>1.4</v>
      </c>
      <c r="E13" s="9">
        <v>0.2</v>
      </c>
      <c r="F13" s="9" t="s">
        <v>5</v>
      </c>
      <c r="G13" s="9">
        <v>0</v>
      </c>
      <c r="H13" s="9">
        <v>0</v>
      </c>
      <c r="I13" s="8">
        <v>0</v>
      </c>
      <c r="L13" s="26" t="s">
        <v>1</v>
      </c>
      <c r="M13" s="16">
        <f>_xlfn.COVARIANCE.P(C59:C108,B59:B108)</f>
        <v>8.3479999999999985E-2</v>
      </c>
      <c r="N13" s="16">
        <f>_xlfn.COVARIANCE.P(C59:C108,C59:C108)</f>
        <v>9.6500000000000016E-2</v>
      </c>
      <c r="P13" s="20" t="s">
        <v>42</v>
      </c>
      <c r="Q13" s="36"/>
      <c r="S13" t="s">
        <v>0</v>
      </c>
      <c r="T13" s="5">
        <f>COVAR(B59:B108,B59:B108)</f>
        <v>0.26110400000000011</v>
      </c>
      <c r="U13" s="5">
        <f>COVAR(B59:B108,C59:C108)</f>
        <v>8.3479999999999985E-2</v>
      </c>
    </row>
    <row r="14" spans="1:26" x14ac:dyDescent="0.25">
      <c r="A14" s="38">
        <v>6</v>
      </c>
      <c r="B14" s="34">
        <v>5.4</v>
      </c>
      <c r="C14" s="9">
        <v>3.9</v>
      </c>
      <c r="D14" s="9">
        <v>1.7</v>
      </c>
      <c r="E14" s="9">
        <v>0.4</v>
      </c>
      <c r="F14" s="9" t="s">
        <v>5</v>
      </c>
      <c r="G14" s="9">
        <v>0</v>
      </c>
      <c r="H14" s="9">
        <v>0</v>
      </c>
      <c r="I14" s="8">
        <v>0</v>
      </c>
      <c r="P14" s="16" cm="1">
        <f t="array" ref="P14:Q14">TRANSPOSE(O4:O5)</f>
        <v>5.4710000000000001</v>
      </c>
      <c r="Q14" s="16">
        <v>3.0940000000000003</v>
      </c>
      <c r="S14" t="s">
        <v>1</v>
      </c>
      <c r="T14" s="5">
        <f>COVAR(C59:C108,B59:B108)</f>
        <v>8.3479999999999985E-2</v>
      </c>
      <c r="U14" s="5">
        <f>COVAR(C59:C108,C59:C108)</f>
        <v>9.6500000000000016E-2</v>
      </c>
    </row>
    <row r="15" spans="1:26" ht="15.75" thickBot="1" x14ac:dyDescent="0.3">
      <c r="A15" s="38">
        <v>7</v>
      </c>
      <c r="B15" s="34">
        <v>4.5999999999999996</v>
      </c>
      <c r="C15" s="9">
        <v>3.4</v>
      </c>
      <c r="D15" s="9">
        <v>1.4</v>
      </c>
      <c r="E15" s="9">
        <v>0.3</v>
      </c>
      <c r="F15" s="9" t="s">
        <v>5</v>
      </c>
      <c r="G15" s="9">
        <v>0</v>
      </c>
      <c r="H15" s="9">
        <v>0</v>
      </c>
      <c r="I15" s="8">
        <v>0</v>
      </c>
      <c r="K15" s="14" t="s">
        <v>39</v>
      </c>
      <c r="L15" s="31" t="s">
        <v>40</v>
      </c>
      <c r="M15" s="32" t="s">
        <v>0</v>
      </c>
      <c r="N15" s="33" t="s">
        <v>1</v>
      </c>
    </row>
    <row r="16" spans="1:26" x14ac:dyDescent="0.25">
      <c r="A16" s="38">
        <v>8</v>
      </c>
      <c r="B16" s="34">
        <v>5</v>
      </c>
      <c r="C16" s="9">
        <v>3.4</v>
      </c>
      <c r="D16" s="9">
        <v>1.5</v>
      </c>
      <c r="E16" s="9">
        <v>0.2</v>
      </c>
      <c r="F16" s="9" t="s">
        <v>5</v>
      </c>
      <c r="G16" s="9">
        <v>0</v>
      </c>
      <c r="H16" s="9">
        <v>0</v>
      </c>
      <c r="I16" s="8">
        <v>0</v>
      </c>
      <c r="L16" s="34" t="s">
        <v>0</v>
      </c>
      <c r="M16" s="16">
        <f>AVERAGE(M8,M12)</f>
        <v>0.19143400000000002</v>
      </c>
      <c r="N16" s="16">
        <f>AVERAGE(N8,N12)</f>
        <v>9.0885999999999967E-2</v>
      </c>
      <c r="P16" s="20" t="s">
        <v>50</v>
      </c>
      <c r="Q16" s="54" t="s">
        <v>51</v>
      </c>
      <c r="S16" t="s">
        <v>12</v>
      </c>
      <c r="T16" t="s">
        <v>0</v>
      </c>
      <c r="U16" t="s">
        <v>1</v>
      </c>
    </row>
    <row r="17" spans="1:25" x14ac:dyDescent="0.25">
      <c r="A17" s="38">
        <v>9</v>
      </c>
      <c r="B17" s="34">
        <v>4.4000000000000004</v>
      </c>
      <c r="C17" s="9">
        <v>2.9</v>
      </c>
      <c r="D17" s="9">
        <v>1.4</v>
      </c>
      <c r="E17" s="9">
        <v>0.2</v>
      </c>
      <c r="F17" s="9" t="s">
        <v>5</v>
      </c>
      <c r="G17" s="9">
        <v>0</v>
      </c>
      <c r="H17" s="9">
        <v>0</v>
      </c>
      <c r="I17" s="8">
        <v>0</v>
      </c>
      <c r="L17" s="35" t="s">
        <v>1</v>
      </c>
      <c r="M17" s="16">
        <f>AVERAGE(M9,M13)</f>
        <v>9.0885999999999967E-2</v>
      </c>
      <c r="N17" s="16">
        <f>AVERAGE(N9,N13)</f>
        <v>0.11938800000000002</v>
      </c>
      <c r="P17" s="29">
        <f t="array" ref="P17:P18">TRANSPOSE(L29:M29)-L4:L5</f>
        <v>0.69400000000000084</v>
      </c>
      <c r="Q17" s="29">
        <f t="array" ref="Q17:Q18">TRANSPOSE(L29:M29)-M4:M5</f>
        <v>-0.23599999999999977</v>
      </c>
      <c r="S17" t="s">
        <v>0</v>
      </c>
      <c r="T17" s="7">
        <f>AVERAGE(T8,T13)</f>
        <v>0.19143400000000002</v>
      </c>
      <c r="U17" s="7">
        <f>AVERAGE(U8,U13)</f>
        <v>9.0885999999999967E-2</v>
      </c>
    </row>
    <row r="18" spans="1:25" x14ac:dyDescent="0.25">
      <c r="A18" s="38">
        <v>10</v>
      </c>
      <c r="B18" s="34">
        <v>4.9000000000000004</v>
      </c>
      <c r="C18" s="9">
        <v>3.1</v>
      </c>
      <c r="D18" s="9">
        <v>1.5</v>
      </c>
      <c r="E18" s="9">
        <v>0.1</v>
      </c>
      <c r="F18" s="9" t="s">
        <v>5</v>
      </c>
      <c r="G18" s="9">
        <v>0</v>
      </c>
      <c r="H18" s="9">
        <v>0</v>
      </c>
      <c r="I18" s="8">
        <v>0</v>
      </c>
      <c r="P18" s="16">
        <v>-0.61800000000000077</v>
      </c>
      <c r="Q18" s="17">
        <v>2.9999999999999361E-2</v>
      </c>
      <c r="S18" t="s">
        <v>1</v>
      </c>
      <c r="T18" s="7">
        <f>AVERAGE(T9,T14)</f>
        <v>9.0885999999999967E-2</v>
      </c>
      <c r="U18" s="7">
        <f>AVERAGE(U9,U14)</f>
        <v>0.11938800000000002</v>
      </c>
    </row>
    <row r="19" spans="1:25" ht="15.75" thickBot="1" x14ac:dyDescent="0.3">
      <c r="A19" s="38">
        <v>11</v>
      </c>
      <c r="B19" s="34">
        <v>5.4</v>
      </c>
      <c r="C19" s="9">
        <v>3.7</v>
      </c>
      <c r="D19" s="9">
        <v>1.5</v>
      </c>
      <c r="E19" s="9">
        <v>0.2</v>
      </c>
      <c r="F19" s="9" t="s">
        <v>5</v>
      </c>
      <c r="G19" s="9">
        <v>0</v>
      </c>
      <c r="H19" s="9">
        <v>0</v>
      </c>
      <c r="I19" s="8">
        <v>0</v>
      </c>
      <c r="K19" s="14" t="s">
        <v>41</v>
      </c>
      <c r="L19" s="31"/>
      <c r="M19" s="32" t="s">
        <v>0</v>
      </c>
      <c r="N19" s="33" t="s">
        <v>1</v>
      </c>
    </row>
    <row r="20" spans="1:25" x14ac:dyDescent="0.25">
      <c r="A20" s="38">
        <v>12</v>
      </c>
      <c r="B20" s="34">
        <v>4.8</v>
      </c>
      <c r="C20" s="9">
        <v>3.4</v>
      </c>
      <c r="D20" s="9">
        <v>1.6</v>
      </c>
      <c r="E20" s="9">
        <v>0.2</v>
      </c>
      <c r="F20" s="9" t="s">
        <v>5</v>
      </c>
      <c r="G20" s="9">
        <v>0</v>
      </c>
      <c r="H20" s="9">
        <v>0</v>
      </c>
      <c r="I20" s="8">
        <v>0</v>
      </c>
      <c r="L20" s="34" t="s">
        <v>0</v>
      </c>
      <c r="M20" s="16">
        <f t="array" ref="M20:N21">MINVERSE(M16:N17)</f>
        <v>8.1802536887725044</v>
      </c>
      <c r="N20" s="16">
        <v>-6.2273472774297041</v>
      </c>
      <c r="P20" s="30" t="s">
        <v>48</v>
      </c>
      <c r="S20" t="s">
        <v>18</v>
      </c>
    </row>
    <row r="21" spans="1:25" x14ac:dyDescent="0.25">
      <c r="A21" s="38">
        <v>13</v>
      </c>
      <c r="B21" s="34">
        <v>4.8</v>
      </c>
      <c r="C21" s="9">
        <v>3</v>
      </c>
      <c r="D21" s="9">
        <v>1.4</v>
      </c>
      <c r="E21" s="9">
        <v>0.1</v>
      </c>
      <c r="F21" s="9" t="s">
        <v>5</v>
      </c>
      <c r="G21" s="9">
        <v>0</v>
      </c>
      <c r="H21" s="9">
        <v>0</v>
      </c>
      <c r="I21" s="8">
        <v>0</v>
      </c>
      <c r="L21" s="35" t="s">
        <v>1</v>
      </c>
      <c r="M21" s="16">
        <v>-6.2273472774297041</v>
      </c>
      <c r="N21" s="16">
        <v>13.116717632060809</v>
      </c>
      <c r="P21" s="29">
        <f t="array" ref="P21:Q21">L29:M29-P8:Q8</f>
        <v>0.69400000000000084</v>
      </c>
      <c r="Q21" s="17">
        <v>-0.61800000000000077</v>
      </c>
      <c r="T21" s="6">
        <f t="array" ref="T21:U22">MINVERSE(T17:U18)</f>
        <v>8.1802536887725044</v>
      </c>
      <c r="U21" s="6">
        <v>-6.2273472774297041</v>
      </c>
    </row>
    <row r="22" spans="1:25" ht="15.75" thickBot="1" x14ac:dyDescent="0.3">
      <c r="A22" s="38">
        <v>14</v>
      </c>
      <c r="B22" s="34">
        <v>4.3</v>
      </c>
      <c r="C22" s="9">
        <v>3</v>
      </c>
      <c r="D22" s="9">
        <v>1.1000000000000001</v>
      </c>
      <c r="E22" s="9">
        <v>0.1</v>
      </c>
      <c r="F22" s="9" t="s">
        <v>5</v>
      </c>
      <c r="G22" s="9">
        <v>0</v>
      </c>
      <c r="H22" s="9">
        <v>0</v>
      </c>
      <c r="I22" s="8">
        <v>0</v>
      </c>
      <c r="T22" s="6">
        <v>-6.2273472774297041</v>
      </c>
      <c r="U22" s="6">
        <v>13.116717632060809</v>
      </c>
    </row>
    <row r="23" spans="1:25" ht="15.75" thickBot="1" x14ac:dyDescent="0.3">
      <c r="A23" s="38">
        <v>15</v>
      </c>
      <c r="B23" s="34">
        <v>5.8</v>
      </c>
      <c r="C23" s="9">
        <v>4</v>
      </c>
      <c r="D23" s="9">
        <v>1.2</v>
      </c>
      <c r="E23" s="9">
        <v>0.2</v>
      </c>
      <c r="F23" s="9" t="s">
        <v>5</v>
      </c>
      <c r="G23" s="9">
        <v>0</v>
      </c>
      <c r="H23" s="9">
        <v>0</v>
      </c>
      <c r="I23" s="8">
        <v>0</v>
      </c>
      <c r="K23" s="45" t="s">
        <v>44</v>
      </c>
      <c r="L23" s="9"/>
      <c r="M23" s="9"/>
      <c r="N23" s="9"/>
      <c r="P23" s="30" t="s">
        <v>49</v>
      </c>
    </row>
    <row r="24" spans="1:25" x14ac:dyDescent="0.25">
      <c r="A24" s="38">
        <v>16</v>
      </c>
      <c r="B24" s="34">
        <v>5.7</v>
      </c>
      <c r="C24" s="9">
        <v>4.4000000000000004</v>
      </c>
      <c r="D24" s="9">
        <v>1.5</v>
      </c>
      <c r="E24" s="9">
        <v>0.4</v>
      </c>
      <c r="F24" s="9" t="s">
        <v>5</v>
      </c>
      <c r="G24" s="9">
        <v>0</v>
      </c>
      <c r="H24" s="9">
        <v>0</v>
      </c>
      <c r="I24" s="8">
        <v>0</v>
      </c>
      <c r="K24" s="44" t="s">
        <v>43</v>
      </c>
      <c r="L24" s="9"/>
      <c r="M24" s="9"/>
      <c r="N24" s="9"/>
      <c r="O24" s="9"/>
      <c r="P24" s="29">
        <f t="array" ref="P24:Q24">L29:M29-P11:Q11</f>
        <v>-0.23599999999999977</v>
      </c>
      <c r="Q24" s="17">
        <v>2.9999999999999361E-2</v>
      </c>
    </row>
    <row r="25" spans="1:25" ht="15.75" thickBot="1" x14ac:dyDescent="0.3">
      <c r="A25" s="38">
        <v>17</v>
      </c>
      <c r="B25" s="34">
        <v>5.4</v>
      </c>
      <c r="C25" s="9">
        <v>3.9</v>
      </c>
      <c r="D25" s="9">
        <v>1.3</v>
      </c>
      <c r="E25" s="9">
        <v>0.4</v>
      </c>
      <c r="F25" s="9" t="s">
        <v>5</v>
      </c>
      <c r="G25" s="9">
        <v>0</v>
      </c>
      <c r="H25" s="9">
        <v>0</v>
      </c>
      <c r="I25" s="8">
        <v>0</v>
      </c>
      <c r="K25" s="43" t="s">
        <v>19</v>
      </c>
      <c r="L25" s="42">
        <f t="array" ref="L25:L26">MMULT(M20:N21,N4:N5)</f>
        <v>11.642956966332882</v>
      </c>
      <c r="M25" s="51" t="s">
        <v>20</v>
      </c>
      <c r="N25" s="30" t="s">
        <v>24</v>
      </c>
      <c r="S25" t="s">
        <v>17</v>
      </c>
    </row>
    <row r="26" spans="1:25" x14ac:dyDescent="0.25">
      <c r="A26" s="38">
        <v>18</v>
      </c>
      <c r="B26" s="34">
        <v>5.0999999999999996</v>
      </c>
      <c r="C26" s="9">
        <v>3.5</v>
      </c>
      <c r="D26" s="9">
        <v>1.4</v>
      </c>
      <c r="E26" s="9">
        <v>0.3</v>
      </c>
      <c r="F26" s="9" t="s">
        <v>5</v>
      </c>
      <c r="G26" s="9">
        <v>0</v>
      </c>
      <c r="H26" s="9">
        <v>0</v>
      </c>
      <c r="I26" s="9">
        <v>0</v>
      </c>
      <c r="J26" s="34"/>
      <c r="K26" s="9"/>
      <c r="L26" s="29">
        <v>-14.291065993585034</v>
      </c>
      <c r="M26" s="9"/>
      <c r="N26" s="50" cm="1">
        <f t="array" ref="N26">MMULT(P14:Q14,L25:L26)</f>
        <v>19.482059378655102</v>
      </c>
      <c r="T26" t="s">
        <v>0</v>
      </c>
      <c r="U26" s="6">
        <f>T5-T4</f>
        <v>0.9300000000000006</v>
      </c>
      <c r="X26" t="s">
        <v>21</v>
      </c>
    </row>
    <row r="27" spans="1:25" x14ac:dyDescent="0.25">
      <c r="A27" s="38">
        <v>19</v>
      </c>
      <c r="B27" s="34">
        <v>5.7</v>
      </c>
      <c r="C27" s="9">
        <v>3.8</v>
      </c>
      <c r="D27" s="9">
        <v>1.7</v>
      </c>
      <c r="E27" s="9">
        <v>0.3</v>
      </c>
      <c r="F27" s="9" t="s">
        <v>5</v>
      </c>
      <c r="G27" s="9">
        <v>0</v>
      </c>
      <c r="H27" s="9">
        <v>0</v>
      </c>
      <c r="I27" s="9">
        <v>0</v>
      </c>
      <c r="J27" s="34"/>
      <c r="K27" s="9"/>
      <c r="L27" s="9"/>
      <c r="M27" s="9"/>
      <c r="N27" s="9"/>
      <c r="O27" s="9"/>
      <c r="T27" t="s">
        <v>1</v>
      </c>
      <c r="U27" s="6">
        <f>U5-U4</f>
        <v>-0.64800000000000013</v>
      </c>
      <c r="X27" s="6">
        <f>AVERAGE(T4:T5)</f>
        <v>5.4710000000000001</v>
      </c>
      <c r="Y27" s="6">
        <f>AVERAGE(U4:U5)</f>
        <v>3.0940000000000003</v>
      </c>
    </row>
    <row r="28" spans="1:25" x14ac:dyDescent="0.25">
      <c r="A28" s="38">
        <v>20</v>
      </c>
      <c r="B28" s="34">
        <v>5.0999999999999996</v>
      </c>
      <c r="C28" s="9">
        <v>3.8</v>
      </c>
      <c r="D28" s="9">
        <v>1.5</v>
      </c>
      <c r="E28" s="9">
        <v>0.3</v>
      </c>
      <c r="F28" s="9" t="s">
        <v>5</v>
      </c>
      <c r="G28" s="9">
        <v>0</v>
      </c>
      <c r="H28" s="9">
        <v>0</v>
      </c>
      <c r="I28" s="9">
        <v>0</v>
      </c>
      <c r="J28" s="34"/>
      <c r="K28" s="9"/>
      <c r="L28" s="5" t="s">
        <v>0</v>
      </c>
      <c r="M28" s="5" t="s">
        <v>1</v>
      </c>
      <c r="N28" s="9"/>
      <c r="O28" s="9"/>
    </row>
    <row r="29" spans="1:25" x14ac:dyDescent="0.25">
      <c r="A29" s="38">
        <v>21</v>
      </c>
      <c r="B29" s="34">
        <v>5.4</v>
      </c>
      <c r="C29" s="9">
        <v>3.4</v>
      </c>
      <c r="D29" s="9">
        <v>1.7</v>
      </c>
      <c r="E29" s="9">
        <v>0.2</v>
      </c>
      <c r="F29" s="9" t="s">
        <v>5</v>
      </c>
      <c r="G29" s="9">
        <v>0</v>
      </c>
      <c r="H29" s="9">
        <v>0</v>
      </c>
      <c r="I29" s="9">
        <v>0</v>
      </c>
      <c r="J29" s="34"/>
      <c r="K29" s="9"/>
      <c r="L29" s="5">
        <v>5.7</v>
      </c>
      <c r="M29" s="5">
        <v>2.8</v>
      </c>
      <c r="N29" s="9"/>
      <c r="O29" s="9"/>
    </row>
    <row r="30" spans="1:25" x14ac:dyDescent="0.25">
      <c r="A30" s="38">
        <v>22</v>
      </c>
      <c r="B30" s="34">
        <v>5.0999999999999996</v>
      </c>
      <c r="C30" s="9">
        <v>3.7</v>
      </c>
      <c r="D30" s="9">
        <v>1.5</v>
      </c>
      <c r="E30" s="9">
        <v>0.4</v>
      </c>
      <c r="F30" s="9" t="s">
        <v>5</v>
      </c>
      <c r="G30" s="9">
        <v>0</v>
      </c>
      <c r="H30" s="9">
        <v>0</v>
      </c>
      <c r="I30" s="8">
        <v>0</v>
      </c>
      <c r="K30" s="46" t="s">
        <v>47</v>
      </c>
      <c r="L30" s="49" cm="1">
        <f t="array" ref="L30">IF(MMULT(L29:M29,L25:L26)&gt;N26,1,0)</f>
        <v>1</v>
      </c>
      <c r="M30" s="9"/>
      <c r="N30" s="9"/>
      <c r="O30" s="9"/>
      <c r="S30" t="s">
        <v>19</v>
      </c>
      <c r="T30">
        <f t="array" ref="T30:T31">MMULT(T21:U22,U26:U27)</f>
        <v>11.642956966332882</v>
      </c>
      <c r="V30" t="s">
        <v>20</v>
      </c>
      <c r="W30">
        <f>MMULT(X27:Y27,T30:T31)</f>
        <v>19.482059378655102</v>
      </c>
      <c r="X30" t="s">
        <v>24</v>
      </c>
    </row>
    <row r="31" spans="1:25" ht="15.75" thickBot="1" x14ac:dyDescent="0.3">
      <c r="A31" s="38">
        <v>23</v>
      </c>
      <c r="B31" s="34">
        <v>4.5999999999999996</v>
      </c>
      <c r="C31" s="9">
        <v>3.6</v>
      </c>
      <c r="D31" s="9">
        <v>1</v>
      </c>
      <c r="E31" s="9">
        <v>0.2</v>
      </c>
      <c r="F31" s="9" t="s">
        <v>5</v>
      </c>
      <c r="G31" s="9">
        <v>0</v>
      </c>
      <c r="H31" s="9">
        <v>0</v>
      </c>
      <c r="I31" s="8">
        <v>0</v>
      </c>
      <c r="M31" s="9"/>
      <c r="N31" s="9"/>
      <c r="O31" s="9"/>
      <c r="T31">
        <v>-14.291065993585034</v>
      </c>
    </row>
    <row r="32" spans="1:25" ht="15.75" thickBot="1" x14ac:dyDescent="0.3">
      <c r="A32" s="38">
        <v>24</v>
      </c>
      <c r="B32" s="34">
        <v>5.0999999999999996</v>
      </c>
      <c r="C32" s="9">
        <v>3.3</v>
      </c>
      <c r="D32" s="9">
        <v>1.7</v>
      </c>
      <c r="E32" s="9">
        <v>0.5</v>
      </c>
      <c r="F32" s="9" t="s">
        <v>5</v>
      </c>
      <c r="G32" s="9">
        <v>0</v>
      </c>
      <c r="H32" s="9">
        <v>0</v>
      </c>
      <c r="I32" s="8">
        <v>0</v>
      </c>
      <c r="K32" s="45" t="s">
        <v>45</v>
      </c>
      <c r="N32" s="45" t="s">
        <v>46</v>
      </c>
      <c r="W32" t="s">
        <v>22</v>
      </c>
    </row>
    <row r="33" spans="1:23" x14ac:dyDescent="0.25">
      <c r="A33" s="38">
        <v>25</v>
      </c>
      <c r="B33" s="34">
        <v>4.8</v>
      </c>
      <c r="C33" s="9">
        <v>3.4</v>
      </c>
      <c r="D33" s="9">
        <v>1.9</v>
      </c>
      <c r="E33" s="9">
        <v>0.2</v>
      </c>
      <c r="F33" s="9" t="s">
        <v>5</v>
      </c>
      <c r="G33" s="9">
        <v>0</v>
      </c>
      <c r="H33" s="9">
        <v>0</v>
      </c>
      <c r="I33" s="8">
        <v>0</v>
      </c>
      <c r="K33" s="47" t="s">
        <v>43</v>
      </c>
      <c r="N33" s="47" t="s">
        <v>43</v>
      </c>
      <c r="S33" t="s">
        <v>7</v>
      </c>
      <c r="T33" t="s">
        <v>8</v>
      </c>
    </row>
    <row r="34" spans="1:23" x14ac:dyDescent="0.25">
      <c r="A34" s="38">
        <v>26</v>
      </c>
      <c r="B34" s="34">
        <v>5</v>
      </c>
      <c r="C34" s="9">
        <v>3</v>
      </c>
      <c r="D34" s="9">
        <v>1.6</v>
      </c>
      <c r="E34" s="9">
        <v>0.2</v>
      </c>
      <c r="F34" s="9" t="s">
        <v>5</v>
      </c>
      <c r="G34" s="9">
        <v>0</v>
      </c>
      <c r="H34" s="9">
        <v>0</v>
      </c>
      <c r="I34" s="8">
        <v>0</v>
      </c>
      <c r="K34" s="5" t="s">
        <v>28</v>
      </c>
      <c r="L34" s="52">
        <f t="array" ref="L34">MMULT(L29:M29,MMULT(M20:N21,L4:L5))-1/2*MMULT(MMULT(P8:Q8,M20:N21),L4:L5)+LOG(1/2)</f>
        <v>77.470655354557863</v>
      </c>
      <c r="M34" s="34"/>
      <c r="N34" s="5" t="s">
        <v>28</v>
      </c>
      <c r="O34" s="5">
        <f t="array" ref="O34">1/2*LOG(MDETERM(M8:N9))-1/2*MMULT(P21:Q21,MMULT(MINVERSE(M8:N9),P17:P18))</f>
        <v>-14.0650447871376</v>
      </c>
      <c r="S34">
        <v>0</v>
      </c>
      <c r="T34">
        <f t="shared" ref="T34:T42" si="0">($W$30-$T$30*S34)/$T$31</f>
        <v>-1.3632334625982552</v>
      </c>
      <c r="W34" t="s">
        <v>23</v>
      </c>
    </row>
    <row r="35" spans="1:23" x14ac:dyDescent="0.25">
      <c r="A35" s="38">
        <v>27</v>
      </c>
      <c r="B35" s="34">
        <v>5</v>
      </c>
      <c r="C35" s="9">
        <v>3.4</v>
      </c>
      <c r="D35" s="9">
        <v>1.6</v>
      </c>
      <c r="E35" s="9">
        <v>0.4</v>
      </c>
      <c r="F35" s="9" t="s">
        <v>5</v>
      </c>
      <c r="G35" s="9">
        <v>0</v>
      </c>
      <c r="H35" s="9">
        <v>0</v>
      </c>
      <c r="I35" s="8">
        <v>0</v>
      </c>
      <c r="K35" s="5" t="s">
        <v>36</v>
      </c>
      <c r="L35" s="5">
        <f t="array" ref="L35">MMULT(L29:M29,MMULT(M20:N21,M4:M5))-1/2*MMULT(MMULT(_xlfn.ANCHORARRAY(P11),M20:N21),M4:M5)+LOG(1/2)</f>
        <v>84.338465901962081</v>
      </c>
      <c r="N35" s="5" t="s">
        <v>36</v>
      </c>
      <c r="O35" s="5">
        <f t="array" ref="O35">1/2*LOG(MDETERM(M12:N13))-1/2*MMULT(P24:Q24,MMULT(MINVERSE(M12:N13),Q17:Q18))</f>
        <v>-1.0559382721780874</v>
      </c>
      <c r="S35">
        <v>1</v>
      </c>
      <c r="T35">
        <f t="shared" si="0"/>
        <v>-0.54853167817159554</v>
      </c>
    </row>
    <row r="36" spans="1:23" x14ac:dyDescent="0.25">
      <c r="A36" s="38">
        <v>28</v>
      </c>
      <c r="B36" s="34">
        <v>5.2</v>
      </c>
      <c r="C36" s="9">
        <v>3.5</v>
      </c>
      <c r="D36" s="9">
        <v>1.5</v>
      </c>
      <c r="E36" s="9">
        <v>0.2</v>
      </c>
      <c r="F36" s="9" t="s">
        <v>5</v>
      </c>
      <c r="G36" s="9">
        <v>0</v>
      </c>
      <c r="H36" s="9">
        <v>0</v>
      </c>
      <c r="I36" s="8">
        <v>0</v>
      </c>
      <c r="K36" s="5" t="s">
        <v>47</v>
      </c>
      <c r="L36" s="42">
        <f>IF(L34&gt;L35,0,1)</f>
        <v>1</v>
      </c>
      <c r="N36" s="5" t="s">
        <v>47</v>
      </c>
      <c r="O36" s="42">
        <f>IF(O34&gt;O35,0,1)</f>
        <v>1</v>
      </c>
      <c r="S36">
        <v>2</v>
      </c>
      <c r="T36">
        <f t="shared" si="0"/>
        <v>0.26617010625506415</v>
      </c>
    </row>
    <row r="37" spans="1:23" x14ac:dyDescent="0.25">
      <c r="A37" s="38">
        <v>29</v>
      </c>
      <c r="B37" s="34">
        <v>5.2</v>
      </c>
      <c r="C37" s="9">
        <v>3.4</v>
      </c>
      <c r="D37" s="9">
        <v>1.4</v>
      </c>
      <c r="E37" s="9">
        <v>0.2</v>
      </c>
      <c r="F37" s="9" t="s">
        <v>5</v>
      </c>
      <c r="G37" s="9">
        <v>0</v>
      </c>
      <c r="H37" s="9">
        <v>0</v>
      </c>
      <c r="I37" s="8">
        <v>0</v>
      </c>
      <c r="S37">
        <v>3</v>
      </c>
      <c r="T37">
        <f t="shared" si="0"/>
        <v>1.0808718906817238</v>
      </c>
    </row>
    <row r="38" spans="1:23" x14ac:dyDescent="0.25">
      <c r="A38" s="38">
        <v>30</v>
      </c>
      <c r="B38" s="34">
        <v>4.7</v>
      </c>
      <c r="C38" s="9">
        <v>3.2</v>
      </c>
      <c r="D38" s="9">
        <v>1.6</v>
      </c>
      <c r="E38" s="9">
        <v>0.2</v>
      </c>
      <c r="F38" s="9" t="s">
        <v>5</v>
      </c>
      <c r="G38" s="9">
        <v>0</v>
      </c>
      <c r="H38" s="9">
        <v>0</v>
      </c>
      <c r="I38" s="8">
        <v>0</v>
      </c>
      <c r="S38">
        <v>4</v>
      </c>
      <c r="T38">
        <f t="shared" si="0"/>
        <v>1.8955736751083836</v>
      </c>
    </row>
    <row r="39" spans="1:23" x14ac:dyDescent="0.25">
      <c r="A39" s="38">
        <v>31</v>
      </c>
      <c r="B39" s="34">
        <v>4.8</v>
      </c>
      <c r="C39" s="9">
        <v>3.1</v>
      </c>
      <c r="D39" s="9">
        <v>1.6</v>
      </c>
      <c r="E39" s="9">
        <v>0.2</v>
      </c>
      <c r="F39" s="9" t="s">
        <v>5</v>
      </c>
      <c r="G39" s="9">
        <v>0</v>
      </c>
      <c r="H39" s="9">
        <v>0</v>
      </c>
      <c r="I39" s="8">
        <v>0</v>
      </c>
      <c r="S39">
        <v>5</v>
      </c>
      <c r="T39">
        <f t="shared" si="0"/>
        <v>2.7102754595350431</v>
      </c>
    </row>
    <row r="40" spans="1:23" x14ac:dyDescent="0.25">
      <c r="A40" s="38">
        <v>32</v>
      </c>
      <c r="B40" s="34">
        <v>5.4</v>
      </c>
      <c r="C40" s="9">
        <v>3.4</v>
      </c>
      <c r="D40" s="9">
        <v>1.5</v>
      </c>
      <c r="E40" s="9">
        <v>0.4</v>
      </c>
      <c r="F40" s="9" t="s">
        <v>5</v>
      </c>
      <c r="G40" s="9">
        <v>0</v>
      </c>
      <c r="H40" s="9">
        <v>0</v>
      </c>
      <c r="I40" s="8">
        <v>0</v>
      </c>
      <c r="S40">
        <v>6</v>
      </c>
      <c r="T40">
        <f t="shared" si="0"/>
        <v>3.5249772439617031</v>
      </c>
    </row>
    <row r="41" spans="1:23" x14ac:dyDescent="0.25">
      <c r="A41" s="38">
        <v>33</v>
      </c>
      <c r="B41" s="34">
        <v>5.2</v>
      </c>
      <c r="C41" s="9">
        <v>4.0999999999999996</v>
      </c>
      <c r="D41" s="9">
        <v>1.5</v>
      </c>
      <c r="E41" s="9">
        <v>0.1</v>
      </c>
      <c r="F41" s="9" t="s">
        <v>5</v>
      </c>
      <c r="G41" s="9">
        <v>0</v>
      </c>
      <c r="H41" s="9">
        <v>0</v>
      </c>
      <c r="I41" s="8">
        <v>0</v>
      </c>
      <c r="S41">
        <v>7</v>
      </c>
      <c r="T41">
        <f t="shared" si="0"/>
        <v>4.3396790283883622</v>
      </c>
    </row>
    <row r="42" spans="1:23" x14ac:dyDescent="0.25">
      <c r="A42" s="38">
        <v>34</v>
      </c>
      <c r="B42" s="34">
        <v>5.5</v>
      </c>
      <c r="C42" s="9">
        <v>4.2</v>
      </c>
      <c r="D42" s="9">
        <v>1.4</v>
      </c>
      <c r="E42" s="9">
        <v>0.2</v>
      </c>
      <c r="F42" s="9" t="s">
        <v>5</v>
      </c>
      <c r="G42" s="9">
        <v>0</v>
      </c>
      <c r="H42" s="9">
        <v>0</v>
      </c>
      <c r="I42" s="8">
        <v>0</v>
      </c>
      <c r="S42">
        <v>8</v>
      </c>
      <c r="T42">
        <f t="shared" si="0"/>
        <v>5.154380812815023</v>
      </c>
    </row>
    <row r="43" spans="1:23" x14ac:dyDescent="0.25">
      <c r="A43" s="38">
        <v>35</v>
      </c>
      <c r="B43" s="34">
        <v>4.9000000000000004</v>
      </c>
      <c r="C43" s="9">
        <v>3.1</v>
      </c>
      <c r="D43" s="9">
        <v>1.5</v>
      </c>
      <c r="E43" s="9">
        <v>0.1</v>
      </c>
      <c r="F43" s="9" t="s">
        <v>5</v>
      </c>
      <c r="G43" s="9">
        <v>0</v>
      </c>
      <c r="H43" s="9">
        <v>0</v>
      </c>
      <c r="I43" s="8">
        <v>0</v>
      </c>
    </row>
    <row r="44" spans="1:23" x14ac:dyDescent="0.25">
      <c r="A44" s="38">
        <v>36</v>
      </c>
      <c r="B44" s="34">
        <v>5</v>
      </c>
      <c r="C44" s="9">
        <v>3.2</v>
      </c>
      <c r="D44" s="9">
        <v>1.2</v>
      </c>
      <c r="E44" s="9">
        <v>0.2</v>
      </c>
      <c r="F44" s="9" t="s">
        <v>5</v>
      </c>
      <c r="G44" s="9">
        <v>0</v>
      </c>
      <c r="H44" s="9">
        <v>0</v>
      </c>
      <c r="I44" s="8">
        <v>0</v>
      </c>
    </row>
    <row r="45" spans="1:23" x14ac:dyDescent="0.25">
      <c r="A45" s="38">
        <v>37</v>
      </c>
      <c r="B45" s="34">
        <v>5.5</v>
      </c>
      <c r="C45" s="9">
        <v>3.5</v>
      </c>
      <c r="D45" s="9">
        <v>1.3</v>
      </c>
      <c r="E45" s="9">
        <v>0.2</v>
      </c>
      <c r="F45" s="9" t="s">
        <v>5</v>
      </c>
      <c r="G45" s="9">
        <v>0</v>
      </c>
      <c r="H45" s="9">
        <v>0</v>
      </c>
      <c r="I45" s="8">
        <v>0</v>
      </c>
    </row>
    <row r="46" spans="1:23" x14ac:dyDescent="0.25">
      <c r="A46" s="38">
        <v>38</v>
      </c>
      <c r="B46" s="34">
        <v>4.9000000000000004</v>
      </c>
      <c r="C46" s="9">
        <v>3.1</v>
      </c>
      <c r="D46" s="9">
        <v>1.5</v>
      </c>
      <c r="E46" s="9">
        <v>0.1</v>
      </c>
      <c r="F46" s="9" t="s">
        <v>5</v>
      </c>
      <c r="G46" s="9">
        <v>0</v>
      </c>
      <c r="H46" s="9">
        <v>0</v>
      </c>
      <c r="I46" s="8">
        <v>0</v>
      </c>
    </row>
    <row r="47" spans="1:23" x14ac:dyDescent="0.25">
      <c r="A47" s="38">
        <v>39</v>
      </c>
      <c r="B47" s="34">
        <v>4.4000000000000004</v>
      </c>
      <c r="C47" s="9">
        <v>3</v>
      </c>
      <c r="D47" s="9">
        <v>1.3</v>
      </c>
      <c r="E47" s="9">
        <v>0.2</v>
      </c>
      <c r="F47" s="9" t="s">
        <v>5</v>
      </c>
      <c r="G47" s="9">
        <v>0</v>
      </c>
      <c r="H47" s="9">
        <v>0</v>
      </c>
      <c r="I47" s="8">
        <v>0</v>
      </c>
    </row>
    <row r="48" spans="1:23" x14ac:dyDescent="0.25">
      <c r="A48" s="38">
        <v>40</v>
      </c>
      <c r="B48" s="34">
        <v>5.0999999999999996</v>
      </c>
      <c r="C48" s="9">
        <v>3.4</v>
      </c>
      <c r="D48" s="9">
        <v>1.5</v>
      </c>
      <c r="E48" s="9">
        <v>0.2</v>
      </c>
      <c r="F48" s="9" t="s">
        <v>5</v>
      </c>
      <c r="G48" s="9">
        <v>0</v>
      </c>
      <c r="H48" s="9">
        <v>0</v>
      </c>
      <c r="I48" s="8">
        <v>0</v>
      </c>
    </row>
    <row r="49" spans="1:9" x14ac:dyDescent="0.25">
      <c r="A49" s="38">
        <v>41</v>
      </c>
      <c r="B49" s="34">
        <v>5</v>
      </c>
      <c r="C49" s="9">
        <v>3.5</v>
      </c>
      <c r="D49" s="9">
        <v>1.3</v>
      </c>
      <c r="E49" s="9">
        <v>0.3</v>
      </c>
      <c r="F49" s="9" t="s">
        <v>5</v>
      </c>
      <c r="G49" s="9">
        <v>0</v>
      </c>
      <c r="H49" s="9">
        <v>0</v>
      </c>
      <c r="I49" s="8">
        <v>0</v>
      </c>
    </row>
    <row r="50" spans="1:9" x14ac:dyDescent="0.25">
      <c r="A50" s="38">
        <v>42</v>
      </c>
      <c r="B50" s="34">
        <v>4.5</v>
      </c>
      <c r="C50" s="9">
        <v>2.2999999999999998</v>
      </c>
      <c r="D50" s="9">
        <v>1.3</v>
      </c>
      <c r="E50" s="9">
        <v>0.3</v>
      </c>
      <c r="F50" s="9" t="s">
        <v>5</v>
      </c>
      <c r="G50" s="48">
        <v>1</v>
      </c>
      <c r="H50" s="48">
        <v>1</v>
      </c>
      <c r="I50" s="53">
        <v>1</v>
      </c>
    </row>
    <row r="51" spans="1:9" x14ac:dyDescent="0.25">
      <c r="A51" s="38">
        <v>43</v>
      </c>
      <c r="B51" s="34">
        <v>4.4000000000000004</v>
      </c>
      <c r="C51" s="9">
        <v>3.2</v>
      </c>
      <c r="D51" s="9">
        <v>1.3</v>
      </c>
      <c r="E51" s="9">
        <v>0.2</v>
      </c>
      <c r="F51" s="9" t="s">
        <v>5</v>
      </c>
      <c r="G51" s="9">
        <v>0</v>
      </c>
      <c r="H51" s="9">
        <v>0</v>
      </c>
      <c r="I51" s="8">
        <v>0</v>
      </c>
    </row>
    <row r="52" spans="1:9" x14ac:dyDescent="0.25">
      <c r="A52" s="38">
        <v>44</v>
      </c>
      <c r="B52" s="34">
        <v>5</v>
      </c>
      <c r="C52" s="9">
        <v>3.5</v>
      </c>
      <c r="D52" s="9">
        <v>1.6</v>
      </c>
      <c r="E52" s="9">
        <v>0.6</v>
      </c>
      <c r="F52" s="9" t="s">
        <v>5</v>
      </c>
      <c r="G52" s="9">
        <v>0</v>
      </c>
      <c r="H52" s="9">
        <v>0</v>
      </c>
      <c r="I52" s="8">
        <v>0</v>
      </c>
    </row>
    <row r="53" spans="1:9" x14ac:dyDescent="0.25">
      <c r="A53" s="38">
        <v>45</v>
      </c>
      <c r="B53" s="34">
        <v>5.0999999999999996</v>
      </c>
      <c r="C53" s="9">
        <v>3.8</v>
      </c>
      <c r="D53" s="9">
        <v>1.9</v>
      </c>
      <c r="E53" s="9">
        <v>0.4</v>
      </c>
      <c r="F53" s="9" t="s">
        <v>5</v>
      </c>
      <c r="G53" s="9">
        <v>0</v>
      </c>
      <c r="H53" s="9">
        <v>0</v>
      </c>
      <c r="I53" s="8">
        <v>0</v>
      </c>
    </row>
    <row r="54" spans="1:9" x14ac:dyDescent="0.25">
      <c r="A54" s="38">
        <v>46</v>
      </c>
      <c r="B54" s="34">
        <v>4.8</v>
      </c>
      <c r="C54" s="9">
        <v>3</v>
      </c>
      <c r="D54" s="9">
        <v>1.4</v>
      </c>
      <c r="E54" s="9">
        <v>0.3</v>
      </c>
      <c r="F54" s="9" t="s">
        <v>5</v>
      </c>
      <c r="G54" s="9">
        <v>0</v>
      </c>
      <c r="H54" s="9">
        <v>0</v>
      </c>
      <c r="I54" s="8">
        <v>0</v>
      </c>
    </row>
    <row r="55" spans="1:9" x14ac:dyDescent="0.25">
      <c r="A55" s="38">
        <v>47</v>
      </c>
      <c r="B55" s="34">
        <v>5.0999999999999996</v>
      </c>
      <c r="C55" s="9">
        <v>3.8</v>
      </c>
      <c r="D55" s="9">
        <v>1.6</v>
      </c>
      <c r="E55" s="9">
        <v>0.2</v>
      </c>
      <c r="F55" s="9" t="s">
        <v>5</v>
      </c>
      <c r="G55" s="9">
        <v>0</v>
      </c>
      <c r="H55" s="9">
        <v>0</v>
      </c>
      <c r="I55" s="8">
        <v>0</v>
      </c>
    </row>
    <row r="56" spans="1:9" x14ac:dyDescent="0.25">
      <c r="A56" s="38">
        <v>48</v>
      </c>
      <c r="B56" s="34">
        <v>4.5999999999999996</v>
      </c>
      <c r="C56" s="9">
        <v>3.2</v>
      </c>
      <c r="D56" s="9">
        <v>1.4</v>
      </c>
      <c r="E56" s="9">
        <v>0.2</v>
      </c>
      <c r="F56" s="9" t="s">
        <v>5</v>
      </c>
      <c r="G56" s="9">
        <v>0</v>
      </c>
      <c r="H56" s="9">
        <v>0</v>
      </c>
      <c r="I56" s="8">
        <v>0</v>
      </c>
    </row>
    <row r="57" spans="1:9" x14ac:dyDescent="0.25">
      <c r="A57" s="38">
        <v>49</v>
      </c>
      <c r="B57" s="34">
        <v>5.3</v>
      </c>
      <c r="C57" s="9">
        <v>3.7</v>
      </c>
      <c r="D57" s="9">
        <v>1.5</v>
      </c>
      <c r="E57" s="9">
        <v>0.2</v>
      </c>
      <c r="F57" s="9" t="s">
        <v>5</v>
      </c>
      <c r="G57" s="9">
        <v>0</v>
      </c>
      <c r="H57" s="9">
        <v>0</v>
      </c>
      <c r="I57" s="8">
        <v>0</v>
      </c>
    </row>
    <row r="58" spans="1:9" x14ac:dyDescent="0.25">
      <c r="A58" s="38">
        <v>50</v>
      </c>
      <c r="B58" s="34">
        <v>5</v>
      </c>
      <c r="C58" s="9">
        <v>3.3</v>
      </c>
      <c r="D58" s="9">
        <v>1.4</v>
      </c>
      <c r="E58" s="9">
        <v>0.2</v>
      </c>
      <c r="F58" s="9" t="s">
        <v>5</v>
      </c>
      <c r="G58" s="9">
        <v>0</v>
      </c>
      <c r="H58" s="9">
        <v>0</v>
      </c>
      <c r="I58" s="8">
        <v>0</v>
      </c>
    </row>
    <row r="59" spans="1:9" x14ac:dyDescent="0.25">
      <c r="A59" s="38">
        <v>51</v>
      </c>
      <c r="B59" s="34">
        <v>7</v>
      </c>
      <c r="C59" s="9">
        <v>3.2</v>
      </c>
      <c r="D59" s="9">
        <v>4.7</v>
      </c>
      <c r="E59" s="9">
        <v>1.4</v>
      </c>
      <c r="F59" s="9" t="s">
        <v>6</v>
      </c>
      <c r="G59" s="9">
        <v>1</v>
      </c>
      <c r="H59" s="9">
        <v>1</v>
      </c>
      <c r="I59" s="8">
        <v>1</v>
      </c>
    </row>
    <row r="60" spans="1:9" x14ac:dyDescent="0.25">
      <c r="A60" s="38">
        <v>52</v>
      </c>
      <c r="B60" s="34">
        <v>6.4</v>
      </c>
      <c r="C60" s="9">
        <v>3.2</v>
      </c>
      <c r="D60" s="9">
        <v>4.5</v>
      </c>
      <c r="E60" s="9">
        <v>1.5</v>
      </c>
      <c r="F60" s="9" t="s">
        <v>6</v>
      </c>
      <c r="G60" s="9">
        <v>1</v>
      </c>
      <c r="H60" s="9">
        <v>1</v>
      </c>
      <c r="I60" s="8">
        <v>1</v>
      </c>
    </row>
    <row r="61" spans="1:9" x14ac:dyDescent="0.25">
      <c r="A61" s="38">
        <v>53</v>
      </c>
      <c r="B61" s="34">
        <v>6.9</v>
      </c>
      <c r="C61" s="9">
        <v>3.1</v>
      </c>
      <c r="D61" s="9">
        <v>4.9000000000000004</v>
      </c>
      <c r="E61" s="9">
        <v>1.5</v>
      </c>
      <c r="F61" s="9" t="s">
        <v>6</v>
      </c>
      <c r="G61" s="9">
        <v>1</v>
      </c>
      <c r="H61" s="9">
        <v>1</v>
      </c>
      <c r="I61" s="8">
        <v>1</v>
      </c>
    </row>
    <row r="62" spans="1:9" x14ac:dyDescent="0.25">
      <c r="A62" s="38">
        <v>54</v>
      </c>
      <c r="B62" s="34">
        <v>5.5</v>
      </c>
      <c r="C62" s="9">
        <v>2.2999999999999998</v>
      </c>
      <c r="D62" s="9">
        <v>4</v>
      </c>
      <c r="E62" s="9">
        <v>1.3</v>
      </c>
      <c r="F62" s="9" t="s">
        <v>6</v>
      </c>
      <c r="G62" s="9">
        <v>1</v>
      </c>
      <c r="H62" s="9">
        <v>1</v>
      </c>
      <c r="I62" s="8">
        <v>1</v>
      </c>
    </row>
    <row r="63" spans="1:9" x14ac:dyDescent="0.25">
      <c r="A63" s="38">
        <v>55</v>
      </c>
      <c r="B63" s="34">
        <v>6.5</v>
      </c>
      <c r="C63" s="9">
        <v>2.8</v>
      </c>
      <c r="D63" s="9">
        <v>4.5999999999999996</v>
      </c>
      <c r="E63" s="9">
        <v>1.5</v>
      </c>
      <c r="F63" s="9" t="s">
        <v>6</v>
      </c>
      <c r="G63" s="9">
        <v>1</v>
      </c>
      <c r="H63" s="9">
        <v>1</v>
      </c>
      <c r="I63" s="8">
        <v>1</v>
      </c>
    </row>
    <row r="64" spans="1:9" x14ac:dyDescent="0.25">
      <c r="A64" s="38">
        <v>56</v>
      </c>
      <c r="B64" s="34">
        <v>5.7</v>
      </c>
      <c r="C64" s="9">
        <v>2.8</v>
      </c>
      <c r="D64" s="9">
        <v>4.5</v>
      </c>
      <c r="E64" s="9">
        <v>1.3</v>
      </c>
      <c r="F64" s="9" t="s">
        <v>6</v>
      </c>
      <c r="G64" s="9">
        <v>1</v>
      </c>
      <c r="H64" s="9">
        <v>1</v>
      </c>
      <c r="I64" s="8">
        <v>1</v>
      </c>
    </row>
    <row r="65" spans="1:9" x14ac:dyDescent="0.25">
      <c r="A65" s="38">
        <v>57</v>
      </c>
      <c r="B65" s="34">
        <v>6.3</v>
      </c>
      <c r="C65" s="9">
        <v>3.3</v>
      </c>
      <c r="D65" s="9">
        <v>4.7</v>
      </c>
      <c r="E65" s="9">
        <v>1.6</v>
      </c>
      <c r="F65" s="9" t="s">
        <v>6</v>
      </c>
      <c r="G65" s="9">
        <v>1</v>
      </c>
      <c r="H65" s="9">
        <v>1</v>
      </c>
      <c r="I65" s="8">
        <v>1</v>
      </c>
    </row>
    <row r="66" spans="1:9" x14ac:dyDescent="0.25">
      <c r="A66" s="38">
        <v>58</v>
      </c>
      <c r="B66" s="34">
        <v>4.9000000000000004</v>
      </c>
      <c r="C66" s="9">
        <v>2.4</v>
      </c>
      <c r="D66" s="9">
        <v>3.3</v>
      </c>
      <c r="E66" s="9">
        <v>1</v>
      </c>
      <c r="F66" s="9" t="s">
        <v>6</v>
      </c>
      <c r="G66" s="9">
        <v>1</v>
      </c>
      <c r="H66" s="9">
        <v>1</v>
      </c>
      <c r="I66" s="8">
        <v>1</v>
      </c>
    </row>
    <row r="67" spans="1:9" x14ac:dyDescent="0.25">
      <c r="A67" s="38">
        <v>59</v>
      </c>
      <c r="B67" s="34">
        <v>6.6</v>
      </c>
      <c r="C67" s="9">
        <v>2.9</v>
      </c>
      <c r="D67" s="9">
        <v>4.5999999999999996</v>
      </c>
      <c r="E67" s="9">
        <v>1.3</v>
      </c>
      <c r="F67" s="9" t="s">
        <v>6</v>
      </c>
      <c r="G67" s="9">
        <v>1</v>
      </c>
      <c r="H67" s="9">
        <v>1</v>
      </c>
      <c r="I67" s="8">
        <v>1</v>
      </c>
    </row>
    <row r="68" spans="1:9" x14ac:dyDescent="0.25">
      <c r="A68" s="38">
        <v>60</v>
      </c>
      <c r="B68" s="34">
        <v>5.2</v>
      </c>
      <c r="C68" s="9">
        <v>2.7</v>
      </c>
      <c r="D68" s="9">
        <v>3.9</v>
      </c>
      <c r="E68" s="9">
        <v>1.4</v>
      </c>
      <c r="F68" s="9" t="s">
        <v>6</v>
      </c>
      <c r="G68" s="9">
        <v>1</v>
      </c>
      <c r="H68" s="9">
        <v>1</v>
      </c>
      <c r="I68" s="8">
        <v>1</v>
      </c>
    </row>
    <row r="69" spans="1:9" x14ac:dyDescent="0.25">
      <c r="A69" s="38">
        <v>61</v>
      </c>
      <c r="B69" s="34">
        <v>5</v>
      </c>
      <c r="C69" s="9">
        <v>2</v>
      </c>
      <c r="D69" s="9">
        <v>3.5</v>
      </c>
      <c r="E69" s="9">
        <v>1</v>
      </c>
      <c r="F69" s="9" t="s">
        <v>6</v>
      </c>
      <c r="G69" s="9">
        <v>1</v>
      </c>
      <c r="H69" s="9">
        <v>1</v>
      </c>
      <c r="I69" s="8">
        <v>1</v>
      </c>
    </row>
    <row r="70" spans="1:9" x14ac:dyDescent="0.25">
      <c r="A70" s="38">
        <v>62</v>
      </c>
      <c r="B70" s="34">
        <v>5.9</v>
      </c>
      <c r="C70" s="9">
        <v>3</v>
      </c>
      <c r="D70" s="9">
        <v>4.2</v>
      </c>
      <c r="E70" s="9">
        <v>1.5</v>
      </c>
      <c r="F70" s="9" t="s">
        <v>6</v>
      </c>
      <c r="G70" s="9">
        <v>1</v>
      </c>
      <c r="H70" s="9">
        <v>1</v>
      </c>
      <c r="I70" s="8">
        <v>1</v>
      </c>
    </row>
    <row r="71" spans="1:9" x14ac:dyDescent="0.25">
      <c r="A71" s="38">
        <v>63</v>
      </c>
      <c r="B71" s="34">
        <v>6</v>
      </c>
      <c r="C71" s="9">
        <v>2.2000000000000002</v>
      </c>
      <c r="D71" s="9">
        <v>4</v>
      </c>
      <c r="E71" s="9">
        <v>1</v>
      </c>
      <c r="F71" s="9" t="s">
        <v>6</v>
      </c>
      <c r="G71" s="9">
        <v>1</v>
      </c>
      <c r="H71" s="9">
        <v>1</v>
      </c>
      <c r="I71" s="8">
        <v>1</v>
      </c>
    </row>
    <row r="72" spans="1:9" x14ac:dyDescent="0.25">
      <c r="A72" s="38">
        <v>64</v>
      </c>
      <c r="B72" s="34">
        <v>6.1</v>
      </c>
      <c r="C72" s="9">
        <v>2.9</v>
      </c>
      <c r="D72" s="9">
        <v>4.7</v>
      </c>
      <c r="E72" s="9">
        <v>1.4</v>
      </c>
      <c r="F72" s="9" t="s">
        <v>6</v>
      </c>
      <c r="G72" s="9">
        <v>1</v>
      </c>
      <c r="H72" s="9">
        <v>1</v>
      </c>
      <c r="I72" s="8">
        <v>1</v>
      </c>
    </row>
    <row r="73" spans="1:9" x14ac:dyDescent="0.25">
      <c r="A73" s="38">
        <v>65</v>
      </c>
      <c r="B73" s="34">
        <v>5.6</v>
      </c>
      <c r="C73" s="9">
        <v>2.9</v>
      </c>
      <c r="D73" s="9">
        <v>3.6</v>
      </c>
      <c r="E73" s="9">
        <v>1.3</v>
      </c>
      <c r="F73" s="9" t="s">
        <v>6</v>
      </c>
      <c r="G73" s="9">
        <v>1</v>
      </c>
      <c r="H73" s="9">
        <v>1</v>
      </c>
      <c r="I73" s="8">
        <v>1</v>
      </c>
    </row>
    <row r="74" spans="1:9" x14ac:dyDescent="0.25">
      <c r="A74" s="38">
        <v>66</v>
      </c>
      <c r="B74" s="34">
        <v>6.7</v>
      </c>
      <c r="C74" s="9">
        <v>3.1</v>
      </c>
      <c r="D74" s="9">
        <v>4.4000000000000004</v>
      </c>
      <c r="E74" s="9">
        <v>1.4</v>
      </c>
      <c r="F74" s="9" t="s">
        <v>6</v>
      </c>
      <c r="G74" s="9">
        <v>1</v>
      </c>
      <c r="H74" s="9">
        <v>1</v>
      </c>
      <c r="I74" s="8">
        <v>1</v>
      </c>
    </row>
    <row r="75" spans="1:9" x14ac:dyDescent="0.25">
      <c r="A75" s="38">
        <v>67</v>
      </c>
      <c r="B75" s="34">
        <v>5.6</v>
      </c>
      <c r="C75" s="9">
        <v>3</v>
      </c>
      <c r="D75" s="9">
        <v>4.5</v>
      </c>
      <c r="E75" s="9">
        <v>1.5</v>
      </c>
      <c r="F75" s="9" t="s">
        <v>6</v>
      </c>
      <c r="G75" s="9">
        <v>1</v>
      </c>
      <c r="H75" s="9">
        <v>1</v>
      </c>
      <c r="I75" s="8">
        <v>1</v>
      </c>
    </row>
    <row r="76" spans="1:9" x14ac:dyDescent="0.25">
      <c r="A76" s="38">
        <v>68</v>
      </c>
      <c r="B76" s="34">
        <v>5.8</v>
      </c>
      <c r="C76" s="9">
        <v>2.7</v>
      </c>
      <c r="D76" s="9">
        <v>4.0999999999999996</v>
      </c>
      <c r="E76" s="9">
        <v>1</v>
      </c>
      <c r="F76" s="9" t="s">
        <v>6</v>
      </c>
      <c r="G76" s="9">
        <v>1</v>
      </c>
      <c r="H76" s="9">
        <v>1</v>
      </c>
      <c r="I76" s="8">
        <v>1</v>
      </c>
    </row>
    <row r="77" spans="1:9" x14ac:dyDescent="0.25">
      <c r="A77" s="38">
        <v>69</v>
      </c>
      <c r="B77" s="34">
        <v>6.2</v>
      </c>
      <c r="C77" s="9">
        <v>2.2000000000000002</v>
      </c>
      <c r="D77" s="9">
        <v>4.5</v>
      </c>
      <c r="E77" s="9">
        <v>1.5</v>
      </c>
      <c r="F77" s="9" t="s">
        <v>6</v>
      </c>
      <c r="G77" s="9">
        <v>1</v>
      </c>
      <c r="H77" s="9">
        <v>1</v>
      </c>
      <c r="I77" s="8">
        <v>1</v>
      </c>
    </row>
    <row r="78" spans="1:9" x14ac:dyDescent="0.25">
      <c r="A78" s="38">
        <v>70</v>
      </c>
      <c r="B78" s="34">
        <v>5.6</v>
      </c>
      <c r="C78" s="9">
        <v>2.5</v>
      </c>
      <c r="D78" s="9">
        <v>3.9</v>
      </c>
      <c r="E78" s="9">
        <v>1.1000000000000001</v>
      </c>
      <c r="F78" s="9" t="s">
        <v>6</v>
      </c>
      <c r="G78" s="9">
        <v>1</v>
      </c>
      <c r="H78" s="9">
        <v>1</v>
      </c>
      <c r="I78" s="8">
        <v>1</v>
      </c>
    </row>
    <row r="79" spans="1:9" x14ac:dyDescent="0.25">
      <c r="A79" s="38">
        <v>71</v>
      </c>
      <c r="B79" s="34">
        <v>5.9</v>
      </c>
      <c r="C79" s="9">
        <v>3.2</v>
      </c>
      <c r="D79" s="9">
        <v>4.8</v>
      </c>
      <c r="E79" s="9">
        <v>1.8</v>
      </c>
      <c r="F79" s="9" t="s">
        <v>6</v>
      </c>
      <c r="G79" s="9">
        <v>1</v>
      </c>
      <c r="H79" s="9">
        <v>1</v>
      </c>
      <c r="I79" s="8">
        <v>1</v>
      </c>
    </row>
    <row r="80" spans="1:9" x14ac:dyDescent="0.25">
      <c r="A80" s="38">
        <v>72</v>
      </c>
      <c r="B80" s="34">
        <v>6.1</v>
      </c>
      <c r="C80" s="9">
        <v>2.8</v>
      </c>
      <c r="D80" s="9">
        <v>4</v>
      </c>
      <c r="E80" s="9">
        <v>1.3</v>
      </c>
      <c r="F80" s="9" t="s">
        <v>6</v>
      </c>
      <c r="G80" s="9">
        <v>1</v>
      </c>
      <c r="H80" s="9">
        <v>1</v>
      </c>
      <c r="I80" s="8">
        <v>1</v>
      </c>
    </row>
    <row r="81" spans="1:9" x14ac:dyDescent="0.25">
      <c r="A81" s="38">
        <v>73</v>
      </c>
      <c r="B81" s="34">
        <v>6.3</v>
      </c>
      <c r="C81" s="9">
        <v>2.5</v>
      </c>
      <c r="D81" s="9">
        <v>4.9000000000000004</v>
      </c>
      <c r="E81" s="9">
        <v>1.5</v>
      </c>
      <c r="F81" s="9" t="s">
        <v>6</v>
      </c>
      <c r="G81" s="9">
        <v>1</v>
      </c>
      <c r="H81" s="9">
        <v>1</v>
      </c>
      <c r="I81" s="8">
        <v>1</v>
      </c>
    </row>
    <row r="82" spans="1:9" x14ac:dyDescent="0.25">
      <c r="A82" s="38">
        <v>74</v>
      </c>
      <c r="B82" s="34">
        <v>6.1</v>
      </c>
      <c r="C82" s="9">
        <v>2.8</v>
      </c>
      <c r="D82" s="9">
        <v>4.7</v>
      </c>
      <c r="E82" s="9">
        <v>1.2</v>
      </c>
      <c r="F82" s="9" t="s">
        <v>6</v>
      </c>
      <c r="G82" s="9">
        <v>1</v>
      </c>
      <c r="H82" s="9">
        <v>1</v>
      </c>
      <c r="I82" s="8">
        <v>1</v>
      </c>
    </row>
    <row r="83" spans="1:9" x14ac:dyDescent="0.25">
      <c r="A83" s="38">
        <v>75</v>
      </c>
      <c r="B83" s="34">
        <v>6.4</v>
      </c>
      <c r="C83" s="9">
        <v>2.9</v>
      </c>
      <c r="D83" s="9">
        <v>4.3</v>
      </c>
      <c r="E83" s="9">
        <v>1.3</v>
      </c>
      <c r="F83" s="9" t="s">
        <v>6</v>
      </c>
      <c r="G83" s="9">
        <v>1</v>
      </c>
      <c r="H83" s="9">
        <v>1</v>
      </c>
      <c r="I83" s="8">
        <v>1</v>
      </c>
    </row>
    <row r="84" spans="1:9" x14ac:dyDescent="0.25">
      <c r="A84" s="38">
        <v>76</v>
      </c>
      <c r="B84" s="34">
        <v>6.6</v>
      </c>
      <c r="C84" s="9">
        <v>3</v>
      </c>
      <c r="D84" s="9">
        <v>4.4000000000000004</v>
      </c>
      <c r="E84" s="9">
        <v>1.4</v>
      </c>
      <c r="F84" s="9" t="s">
        <v>6</v>
      </c>
      <c r="G84" s="9">
        <v>1</v>
      </c>
      <c r="H84" s="9">
        <v>1</v>
      </c>
      <c r="I84" s="8">
        <v>1</v>
      </c>
    </row>
    <row r="85" spans="1:9" x14ac:dyDescent="0.25">
      <c r="A85" s="38">
        <v>77</v>
      </c>
      <c r="B85" s="34">
        <v>6.8</v>
      </c>
      <c r="C85" s="9">
        <v>2.8</v>
      </c>
      <c r="D85" s="9">
        <v>4.8</v>
      </c>
      <c r="E85" s="9">
        <v>1.4</v>
      </c>
      <c r="F85" s="9" t="s">
        <v>6</v>
      </c>
      <c r="G85" s="9">
        <v>1</v>
      </c>
      <c r="H85" s="9">
        <v>1</v>
      </c>
      <c r="I85" s="8">
        <v>1</v>
      </c>
    </row>
    <row r="86" spans="1:9" x14ac:dyDescent="0.25">
      <c r="A86" s="38">
        <v>78</v>
      </c>
      <c r="B86" s="34">
        <v>6.7</v>
      </c>
      <c r="C86" s="9">
        <v>3</v>
      </c>
      <c r="D86" s="9">
        <v>5</v>
      </c>
      <c r="E86" s="9">
        <v>1.7</v>
      </c>
      <c r="F86" s="9" t="s">
        <v>6</v>
      </c>
      <c r="G86" s="9">
        <v>1</v>
      </c>
      <c r="H86" s="9">
        <v>1</v>
      </c>
      <c r="I86" s="8">
        <v>1</v>
      </c>
    </row>
    <row r="87" spans="1:9" x14ac:dyDescent="0.25">
      <c r="A87" s="38">
        <v>79</v>
      </c>
      <c r="B87" s="34">
        <v>6</v>
      </c>
      <c r="C87" s="9">
        <v>2.9</v>
      </c>
      <c r="D87" s="9">
        <v>4.5</v>
      </c>
      <c r="E87" s="9">
        <v>1.5</v>
      </c>
      <c r="F87" s="9" t="s">
        <v>6</v>
      </c>
      <c r="G87" s="9">
        <v>1</v>
      </c>
      <c r="H87" s="9">
        <v>1</v>
      </c>
      <c r="I87" s="8">
        <v>1</v>
      </c>
    </row>
    <row r="88" spans="1:9" x14ac:dyDescent="0.25">
      <c r="A88" s="38">
        <v>80</v>
      </c>
      <c r="B88" s="34">
        <v>5.7</v>
      </c>
      <c r="C88" s="9">
        <v>2.6</v>
      </c>
      <c r="D88" s="9">
        <v>3.5</v>
      </c>
      <c r="E88" s="9">
        <v>1</v>
      </c>
      <c r="F88" s="9" t="s">
        <v>6</v>
      </c>
      <c r="G88" s="9">
        <v>1</v>
      </c>
      <c r="H88" s="9">
        <v>1</v>
      </c>
      <c r="I88" s="8">
        <v>1</v>
      </c>
    </row>
    <row r="89" spans="1:9" x14ac:dyDescent="0.25">
      <c r="A89" s="38">
        <v>81</v>
      </c>
      <c r="B89" s="34">
        <v>5.5</v>
      </c>
      <c r="C89" s="9">
        <v>2.4</v>
      </c>
      <c r="D89" s="9">
        <v>3.8</v>
      </c>
      <c r="E89" s="9">
        <v>1.1000000000000001</v>
      </c>
      <c r="F89" s="9" t="s">
        <v>6</v>
      </c>
      <c r="G89" s="9">
        <v>1</v>
      </c>
      <c r="H89" s="9">
        <v>1</v>
      </c>
      <c r="I89" s="8">
        <v>1</v>
      </c>
    </row>
    <row r="90" spans="1:9" x14ac:dyDescent="0.25">
      <c r="A90" s="38">
        <v>82</v>
      </c>
      <c r="B90" s="34">
        <v>5.5</v>
      </c>
      <c r="C90" s="9">
        <v>2.4</v>
      </c>
      <c r="D90" s="9">
        <v>3.7</v>
      </c>
      <c r="E90" s="9">
        <v>1</v>
      </c>
      <c r="F90" s="9" t="s">
        <v>6</v>
      </c>
      <c r="G90" s="9">
        <v>1</v>
      </c>
      <c r="H90" s="9">
        <v>1</v>
      </c>
      <c r="I90" s="8">
        <v>1</v>
      </c>
    </row>
    <row r="91" spans="1:9" x14ac:dyDescent="0.25">
      <c r="A91" s="38">
        <v>83</v>
      </c>
      <c r="B91" s="34">
        <v>5.8</v>
      </c>
      <c r="C91" s="9">
        <v>2.7</v>
      </c>
      <c r="D91" s="9">
        <v>3.9</v>
      </c>
      <c r="E91" s="9">
        <v>1.2</v>
      </c>
      <c r="F91" s="9" t="s">
        <v>6</v>
      </c>
      <c r="G91" s="9">
        <v>1</v>
      </c>
      <c r="H91" s="9">
        <v>1</v>
      </c>
      <c r="I91" s="8">
        <v>1</v>
      </c>
    </row>
    <row r="92" spans="1:9" x14ac:dyDescent="0.25">
      <c r="A92" s="38">
        <v>84</v>
      </c>
      <c r="B92" s="34">
        <v>6</v>
      </c>
      <c r="C92" s="9">
        <v>2.7</v>
      </c>
      <c r="D92" s="9">
        <v>5.0999999999999996</v>
      </c>
      <c r="E92" s="9">
        <v>1.6</v>
      </c>
      <c r="F92" s="9" t="s">
        <v>6</v>
      </c>
      <c r="G92" s="9">
        <v>1</v>
      </c>
      <c r="H92" s="9">
        <v>1</v>
      </c>
      <c r="I92" s="8">
        <v>1</v>
      </c>
    </row>
    <row r="93" spans="1:9" x14ac:dyDescent="0.25">
      <c r="A93" s="38">
        <v>85</v>
      </c>
      <c r="B93" s="34">
        <v>5.4</v>
      </c>
      <c r="C93" s="9">
        <v>3</v>
      </c>
      <c r="D93" s="9">
        <v>4.5</v>
      </c>
      <c r="E93" s="9">
        <v>1.5</v>
      </c>
      <c r="F93" s="9" t="s">
        <v>6</v>
      </c>
      <c r="G93" s="9">
        <v>1</v>
      </c>
      <c r="H93" s="9">
        <v>1</v>
      </c>
      <c r="I93" s="8">
        <v>1</v>
      </c>
    </row>
    <row r="94" spans="1:9" x14ac:dyDescent="0.25">
      <c r="A94" s="38">
        <v>86</v>
      </c>
      <c r="B94" s="34">
        <v>6</v>
      </c>
      <c r="C94" s="9">
        <v>3.4</v>
      </c>
      <c r="D94" s="9">
        <v>4.5</v>
      </c>
      <c r="E94" s="9">
        <v>1.6</v>
      </c>
      <c r="F94" s="9" t="s">
        <v>6</v>
      </c>
      <c r="G94" s="9">
        <v>1</v>
      </c>
      <c r="H94" s="9">
        <v>1</v>
      </c>
      <c r="I94" s="8">
        <v>1</v>
      </c>
    </row>
    <row r="95" spans="1:9" x14ac:dyDescent="0.25">
      <c r="A95" s="38">
        <v>87</v>
      </c>
      <c r="B95" s="34">
        <v>6.7</v>
      </c>
      <c r="C95" s="9">
        <v>3.1</v>
      </c>
      <c r="D95" s="9">
        <v>4.7</v>
      </c>
      <c r="E95" s="9">
        <v>1.5</v>
      </c>
      <c r="F95" s="9" t="s">
        <v>6</v>
      </c>
      <c r="G95" s="9">
        <v>1</v>
      </c>
      <c r="H95" s="9">
        <v>1</v>
      </c>
      <c r="I95" s="8">
        <v>1</v>
      </c>
    </row>
    <row r="96" spans="1:9" x14ac:dyDescent="0.25">
      <c r="A96" s="38">
        <v>88</v>
      </c>
      <c r="B96" s="34">
        <v>6.3</v>
      </c>
      <c r="C96" s="9">
        <v>2.2999999999999998</v>
      </c>
      <c r="D96" s="9">
        <v>4.4000000000000004</v>
      </c>
      <c r="E96" s="9">
        <v>1.3</v>
      </c>
      <c r="F96" s="9" t="s">
        <v>6</v>
      </c>
      <c r="G96" s="9">
        <v>1</v>
      </c>
      <c r="H96" s="9">
        <v>1</v>
      </c>
      <c r="I96" s="8">
        <v>1</v>
      </c>
    </row>
    <row r="97" spans="1:9" x14ac:dyDescent="0.25">
      <c r="A97" s="38">
        <v>89</v>
      </c>
      <c r="B97" s="34">
        <v>5.6</v>
      </c>
      <c r="C97" s="9">
        <v>3</v>
      </c>
      <c r="D97" s="9">
        <v>4.0999999999999996</v>
      </c>
      <c r="E97" s="9">
        <v>1.3</v>
      </c>
      <c r="F97" s="9" t="s">
        <v>6</v>
      </c>
      <c r="G97" s="9">
        <v>1</v>
      </c>
      <c r="H97" s="9">
        <v>1</v>
      </c>
      <c r="I97" s="8">
        <v>1</v>
      </c>
    </row>
    <row r="98" spans="1:9" x14ac:dyDescent="0.25">
      <c r="A98" s="38">
        <v>90</v>
      </c>
      <c r="B98" s="34">
        <v>5.5</v>
      </c>
      <c r="C98" s="9">
        <v>2.5</v>
      </c>
      <c r="D98" s="9">
        <v>4</v>
      </c>
      <c r="E98" s="9">
        <v>1.3</v>
      </c>
      <c r="F98" s="9" t="s">
        <v>6</v>
      </c>
      <c r="G98" s="9">
        <v>1</v>
      </c>
      <c r="H98" s="9">
        <v>1</v>
      </c>
      <c r="I98" s="8">
        <v>1</v>
      </c>
    </row>
    <row r="99" spans="1:9" x14ac:dyDescent="0.25">
      <c r="A99" s="38">
        <v>91</v>
      </c>
      <c r="B99" s="34">
        <v>5.5</v>
      </c>
      <c r="C99" s="9">
        <v>2.6</v>
      </c>
      <c r="D99" s="9">
        <v>4.4000000000000004</v>
      </c>
      <c r="E99" s="9">
        <v>1.2</v>
      </c>
      <c r="F99" s="9" t="s">
        <v>6</v>
      </c>
      <c r="G99" s="9">
        <v>1</v>
      </c>
      <c r="H99" s="9">
        <v>1</v>
      </c>
      <c r="I99" s="8">
        <v>1</v>
      </c>
    </row>
    <row r="100" spans="1:9" x14ac:dyDescent="0.25">
      <c r="A100" s="38">
        <v>92</v>
      </c>
      <c r="B100" s="34">
        <v>6.1</v>
      </c>
      <c r="C100" s="9">
        <v>3</v>
      </c>
      <c r="D100" s="9">
        <v>4.5999999999999996</v>
      </c>
      <c r="E100" s="9">
        <v>1.4</v>
      </c>
      <c r="F100" s="9" t="s">
        <v>6</v>
      </c>
      <c r="G100" s="9">
        <v>1</v>
      </c>
      <c r="H100" s="9">
        <v>1</v>
      </c>
      <c r="I100" s="8">
        <v>1</v>
      </c>
    </row>
    <row r="101" spans="1:9" x14ac:dyDescent="0.25">
      <c r="A101" s="38">
        <v>93</v>
      </c>
      <c r="B101" s="34">
        <v>5.8</v>
      </c>
      <c r="C101" s="9">
        <v>2.6</v>
      </c>
      <c r="D101" s="9">
        <v>4</v>
      </c>
      <c r="E101" s="9">
        <v>1.2</v>
      </c>
      <c r="F101" s="9" t="s">
        <v>6</v>
      </c>
      <c r="G101" s="9">
        <v>1</v>
      </c>
      <c r="H101" s="9">
        <v>1</v>
      </c>
      <c r="I101" s="8">
        <v>1</v>
      </c>
    </row>
    <row r="102" spans="1:9" x14ac:dyDescent="0.25">
      <c r="A102" s="38">
        <v>94</v>
      </c>
      <c r="B102" s="34">
        <v>5</v>
      </c>
      <c r="C102" s="9">
        <v>2.2999999999999998</v>
      </c>
      <c r="D102" s="9">
        <v>3.3</v>
      </c>
      <c r="E102" s="9">
        <v>1</v>
      </c>
      <c r="F102" s="9" t="s">
        <v>6</v>
      </c>
      <c r="G102" s="9">
        <v>1</v>
      </c>
      <c r="H102" s="9">
        <v>1</v>
      </c>
      <c r="I102" s="8">
        <v>1</v>
      </c>
    </row>
    <row r="103" spans="1:9" x14ac:dyDescent="0.25">
      <c r="A103" s="38">
        <v>95</v>
      </c>
      <c r="B103" s="34">
        <v>5.6</v>
      </c>
      <c r="C103" s="9">
        <v>2.7</v>
      </c>
      <c r="D103" s="9">
        <v>4.2</v>
      </c>
      <c r="E103" s="9">
        <v>1.3</v>
      </c>
      <c r="F103" s="9" t="s">
        <v>6</v>
      </c>
      <c r="G103" s="9">
        <v>1</v>
      </c>
      <c r="H103" s="9">
        <v>1</v>
      </c>
      <c r="I103" s="8">
        <v>1</v>
      </c>
    </row>
    <row r="104" spans="1:9" x14ac:dyDescent="0.25">
      <c r="A104" s="38">
        <v>96</v>
      </c>
      <c r="B104" s="34">
        <v>5.7</v>
      </c>
      <c r="C104" s="9">
        <v>3</v>
      </c>
      <c r="D104" s="9">
        <v>4.2</v>
      </c>
      <c r="E104" s="9">
        <v>1.2</v>
      </c>
      <c r="F104" s="9" t="s">
        <v>6</v>
      </c>
      <c r="G104" s="9">
        <v>1</v>
      </c>
      <c r="H104" s="9">
        <v>1</v>
      </c>
      <c r="I104" s="8">
        <v>1</v>
      </c>
    </row>
    <row r="105" spans="1:9" x14ac:dyDescent="0.25">
      <c r="A105" s="38">
        <v>97</v>
      </c>
      <c r="B105" s="34">
        <v>5.7</v>
      </c>
      <c r="C105" s="9">
        <v>2.9</v>
      </c>
      <c r="D105" s="9">
        <v>4.2</v>
      </c>
      <c r="E105" s="9">
        <v>1.3</v>
      </c>
      <c r="F105" s="9" t="s">
        <v>6</v>
      </c>
      <c r="G105" s="9">
        <v>1</v>
      </c>
      <c r="H105" s="9">
        <v>1</v>
      </c>
      <c r="I105" s="8">
        <v>1</v>
      </c>
    </row>
    <row r="106" spans="1:9" x14ac:dyDescent="0.25">
      <c r="A106" s="38">
        <v>98</v>
      </c>
      <c r="B106" s="34">
        <v>6.2</v>
      </c>
      <c r="C106" s="9">
        <v>2.9</v>
      </c>
      <c r="D106" s="9">
        <v>4.3</v>
      </c>
      <c r="E106" s="9">
        <v>1.3</v>
      </c>
      <c r="F106" s="9" t="s">
        <v>6</v>
      </c>
      <c r="G106" s="9">
        <v>1</v>
      </c>
      <c r="H106" s="9">
        <v>1</v>
      </c>
      <c r="I106" s="8">
        <v>1</v>
      </c>
    </row>
    <row r="107" spans="1:9" x14ac:dyDescent="0.25">
      <c r="A107" s="38">
        <v>99</v>
      </c>
      <c r="B107" s="34">
        <v>5.0999999999999996</v>
      </c>
      <c r="C107" s="9">
        <v>2.5</v>
      </c>
      <c r="D107" s="9">
        <v>3</v>
      </c>
      <c r="E107" s="9">
        <v>1.1000000000000001</v>
      </c>
      <c r="F107" s="9" t="s">
        <v>6</v>
      </c>
      <c r="G107" s="9">
        <v>1</v>
      </c>
      <c r="H107" s="9">
        <v>1</v>
      </c>
      <c r="I107" s="8">
        <v>1</v>
      </c>
    </row>
    <row r="108" spans="1:9" x14ac:dyDescent="0.25">
      <c r="A108" s="1">
        <v>100</v>
      </c>
      <c r="B108" s="35">
        <v>5.7</v>
      </c>
      <c r="C108" s="24">
        <v>2.8</v>
      </c>
      <c r="D108" s="24">
        <v>4.0999999999999996</v>
      </c>
      <c r="E108" s="24">
        <v>1.3</v>
      </c>
      <c r="F108" s="24" t="s">
        <v>6</v>
      </c>
      <c r="G108" s="24">
        <v>1</v>
      </c>
      <c r="H108" s="24">
        <v>1</v>
      </c>
      <c r="I108" s="10">
        <v>1</v>
      </c>
    </row>
    <row r="109" spans="1:9" x14ac:dyDescent="0.25">
      <c r="A109" s="3"/>
      <c r="B109" s="4"/>
      <c r="C109" s="4"/>
      <c r="D109" s="4"/>
      <c r="E109" s="4"/>
      <c r="F109" s="4"/>
    </row>
    <row r="110" spans="1:9" x14ac:dyDescent="0.25">
      <c r="A110" s="3"/>
      <c r="B110" s="4"/>
      <c r="C110" s="4"/>
      <c r="D110" s="4"/>
      <c r="E110" s="4"/>
      <c r="F110" s="4"/>
    </row>
    <row r="111" spans="1:9" x14ac:dyDescent="0.25">
      <c r="A111" s="3"/>
      <c r="B111" s="4"/>
      <c r="C111" s="4"/>
      <c r="D111" s="4"/>
      <c r="E111" s="4"/>
      <c r="F111" s="4"/>
    </row>
    <row r="112" spans="1:9" x14ac:dyDescent="0.25">
      <c r="A112" s="3"/>
      <c r="B112" s="4"/>
      <c r="C112" s="4"/>
      <c r="D112" s="4"/>
      <c r="E112" s="4"/>
      <c r="F112" s="4"/>
    </row>
    <row r="113" spans="1:6" x14ac:dyDescent="0.25">
      <c r="A113" s="3"/>
      <c r="B113" s="4"/>
      <c r="C113" s="4"/>
      <c r="D113" s="4"/>
      <c r="E113" s="4"/>
      <c r="F113" s="4"/>
    </row>
    <row r="114" spans="1:6" x14ac:dyDescent="0.25">
      <c r="A114" s="3"/>
      <c r="B114" s="4"/>
      <c r="C114" s="4"/>
      <c r="D114" s="4"/>
      <c r="E114" s="4"/>
      <c r="F114" s="4"/>
    </row>
    <row r="115" spans="1:6" x14ac:dyDescent="0.25">
      <c r="A115" s="3"/>
      <c r="B115" s="4"/>
      <c r="C115" s="4"/>
      <c r="D115" s="4"/>
      <c r="E115" s="4"/>
      <c r="F115" s="4"/>
    </row>
    <row r="116" spans="1:6" x14ac:dyDescent="0.25">
      <c r="A116" s="3"/>
      <c r="B116" s="4"/>
      <c r="C116" s="4"/>
      <c r="D116" s="4"/>
      <c r="E116" s="4"/>
      <c r="F116" s="4"/>
    </row>
    <row r="117" spans="1:6" x14ac:dyDescent="0.25">
      <c r="A117" s="3"/>
      <c r="B117" s="4"/>
      <c r="C117" s="4"/>
      <c r="D117" s="4"/>
      <c r="E117" s="4"/>
      <c r="F117" s="4"/>
    </row>
    <row r="118" spans="1:6" x14ac:dyDescent="0.25">
      <c r="A118" s="3"/>
      <c r="B118" s="4"/>
      <c r="C118" s="4"/>
      <c r="D118" s="4"/>
      <c r="E118" s="4"/>
      <c r="F118" s="4"/>
    </row>
    <row r="119" spans="1:6" x14ac:dyDescent="0.25">
      <c r="A119" s="3"/>
      <c r="B119" s="4"/>
      <c r="C119" s="4"/>
      <c r="D119" s="4"/>
      <c r="E119" s="4"/>
      <c r="F119" s="4"/>
    </row>
    <row r="120" spans="1:6" x14ac:dyDescent="0.25">
      <c r="A120" s="3"/>
      <c r="B120" s="4"/>
      <c r="C120" s="4"/>
      <c r="D120" s="4"/>
      <c r="E120" s="4"/>
      <c r="F120" s="4"/>
    </row>
    <row r="121" spans="1:6" x14ac:dyDescent="0.25">
      <c r="A121" s="3"/>
      <c r="B121" s="4"/>
      <c r="C121" s="4"/>
      <c r="D121" s="4"/>
      <c r="E121" s="4"/>
      <c r="F121" s="4"/>
    </row>
    <row r="122" spans="1:6" x14ac:dyDescent="0.25">
      <c r="A122" s="3"/>
      <c r="B122" s="4"/>
      <c r="C122" s="4"/>
      <c r="D122" s="4"/>
      <c r="E122" s="4"/>
      <c r="F122" s="4"/>
    </row>
    <row r="123" spans="1:6" x14ac:dyDescent="0.25">
      <c r="A123" s="3"/>
      <c r="B123" s="4"/>
      <c r="C123" s="4"/>
      <c r="D123" s="4"/>
      <c r="E123" s="4"/>
      <c r="F123" s="4"/>
    </row>
    <row r="124" spans="1:6" x14ac:dyDescent="0.25">
      <c r="A124" s="3"/>
      <c r="B124" s="4"/>
      <c r="C124" s="4"/>
      <c r="D124" s="4"/>
      <c r="E124" s="4"/>
      <c r="F124" s="4"/>
    </row>
    <row r="125" spans="1:6" x14ac:dyDescent="0.25">
      <c r="A125" s="3"/>
      <c r="B125" s="4"/>
      <c r="C125" s="4"/>
      <c r="D125" s="4"/>
      <c r="E125" s="4"/>
      <c r="F125" s="4"/>
    </row>
    <row r="126" spans="1:6" x14ac:dyDescent="0.25">
      <c r="A126" s="3"/>
      <c r="B126" s="4"/>
      <c r="C126" s="4"/>
      <c r="D126" s="4"/>
      <c r="E126" s="4"/>
      <c r="F126" s="4"/>
    </row>
    <row r="127" spans="1:6" x14ac:dyDescent="0.25">
      <c r="A127" s="3"/>
      <c r="B127" s="4"/>
      <c r="C127" s="4"/>
      <c r="D127" s="4"/>
      <c r="E127" s="4"/>
      <c r="F127" s="4"/>
    </row>
    <row r="128" spans="1:6" x14ac:dyDescent="0.25">
      <c r="A128" s="3"/>
      <c r="B128" s="4"/>
      <c r="C128" s="4"/>
      <c r="D128" s="4"/>
      <c r="E128" s="4"/>
      <c r="F128" s="4"/>
    </row>
    <row r="129" spans="1:6" x14ac:dyDescent="0.25">
      <c r="A129" s="3"/>
      <c r="B129" s="4"/>
      <c r="C129" s="4"/>
      <c r="D129" s="4"/>
      <c r="E129" s="4"/>
      <c r="F129" s="4"/>
    </row>
    <row r="130" spans="1:6" x14ac:dyDescent="0.25">
      <c r="A130" s="3"/>
      <c r="B130" s="4"/>
      <c r="C130" s="4"/>
      <c r="D130" s="4"/>
      <c r="E130" s="4"/>
      <c r="F130" s="4"/>
    </row>
    <row r="131" spans="1:6" x14ac:dyDescent="0.25">
      <c r="A131" s="3"/>
      <c r="B131" s="4"/>
      <c r="C131" s="4"/>
      <c r="D131" s="4"/>
      <c r="E131" s="4"/>
      <c r="F131" s="4"/>
    </row>
    <row r="132" spans="1:6" x14ac:dyDescent="0.25">
      <c r="A132" s="3"/>
      <c r="B132" s="4"/>
      <c r="C132" s="4"/>
      <c r="D132" s="4"/>
      <c r="E132" s="4"/>
      <c r="F132" s="4"/>
    </row>
    <row r="133" spans="1:6" x14ac:dyDescent="0.25">
      <c r="A133" s="3"/>
      <c r="B133" s="4"/>
      <c r="C133" s="4"/>
      <c r="D133" s="4"/>
      <c r="E133" s="4"/>
      <c r="F133" s="4"/>
    </row>
    <row r="134" spans="1:6" x14ac:dyDescent="0.25">
      <c r="A134" s="3"/>
      <c r="B134" s="4"/>
      <c r="C134" s="4"/>
      <c r="D134" s="4"/>
      <c r="E134" s="4"/>
      <c r="F134" s="4"/>
    </row>
    <row r="135" spans="1:6" x14ac:dyDescent="0.25">
      <c r="A135" s="3"/>
      <c r="B135" s="4"/>
      <c r="C135" s="4"/>
      <c r="D135" s="4"/>
      <c r="E135" s="4"/>
      <c r="F135" s="4"/>
    </row>
    <row r="136" spans="1:6" x14ac:dyDescent="0.25">
      <c r="A136" s="3"/>
      <c r="B136" s="4"/>
      <c r="C136" s="4"/>
      <c r="D136" s="4"/>
      <c r="E136" s="4"/>
      <c r="F136" s="4"/>
    </row>
    <row r="137" spans="1:6" x14ac:dyDescent="0.25">
      <c r="A137" s="3"/>
      <c r="B137" s="4"/>
      <c r="C137" s="4"/>
      <c r="D137" s="4"/>
      <c r="E137" s="4"/>
      <c r="F137" s="4"/>
    </row>
    <row r="138" spans="1:6" x14ac:dyDescent="0.25">
      <c r="A138" s="3"/>
      <c r="B138" s="4"/>
      <c r="C138" s="4"/>
      <c r="D138" s="4"/>
      <c r="E138" s="4"/>
      <c r="F138" s="4"/>
    </row>
    <row r="139" spans="1:6" x14ac:dyDescent="0.25">
      <c r="A139" s="3"/>
      <c r="B139" s="4"/>
      <c r="C139" s="4"/>
      <c r="D139" s="4"/>
      <c r="E139" s="4"/>
      <c r="F139" s="4"/>
    </row>
    <row r="140" spans="1:6" x14ac:dyDescent="0.25">
      <c r="A140" s="3"/>
      <c r="B140" s="4"/>
      <c r="C140" s="4"/>
      <c r="D140" s="4"/>
      <c r="E140" s="4"/>
      <c r="F140" s="4"/>
    </row>
    <row r="141" spans="1:6" x14ac:dyDescent="0.25">
      <c r="A141" s="3"/>
      <c r="B141" s="4"/>
      <c r="C141" s="4"/>
      <c r="D141" s="4"/>
      <c r="E141" s="4"/>
      <c r="F141" s="4"/>
    </row>
    <row r="142" spans="1:6" x14ac:dyDescent="0.25">
      <c r="A142" s="3"/>
      <c r="B142" s="4"/>
      <c r="C142" s="4"/>
      <c r="D142" s="4"/>
      <c r="E142" s="4"/>
      <c r="F142" s="4"/>
    </row>
    <row r="143" spans="1:6" x14ac:dyDescent="0.25">
      <c r="A143" s="3"/>
      <c r="B143" s="4"/>
      <c r="C143" s="4"/>
      <c r="D143" s="4"/>
      <c r="E143" s="4"/>
      <c r="F143" s="4"/>
    </row>
    <row r="144" spans="1:6" x14ac:dyDescent="0.25">
      <c r="A144" s="3"/>
      <c r="B144" s="4"/>
      <c r="C144" s="4"/>
      <c r="D144" s="4"/>
      <c r="E144" s="4"/>
      <c r="F144" s="4"/>
    </row>
    <row r="145" spans="1:6" x14ac:dyDescent="0.25">
      <c r="A145" s="3"/>
      <c r="B145" s="4"/>
      <c r="C145" s="4"/>
      <c r="D145" s="4"/>
      <c r="E145" s="4"/>
      <c r="F145" s="4"/>
    </row>
    <row r="146" spans="1:6" x14ac:dyDescent="0.25">
      <c r="A146" s="3"/>
      <c r="B146" s="4"/>
      <c r="C146" s="4"/>
      <c r="D146" s="4"/>
      <c r="E146" s="4"/>
      <c r="F146" s="4"/>
    </row>
    <row r="147" spans="1:6" x14ac:dyDescent="0.25">
      <c r="A147" s="3"/>
      <c r="B147" s="4"/>
      <c r="C147" s="4"/>
      <c r="D147" s="4"/>
      <c r="E147" s="4"/>
      <c r="F147" s="4"/>
    </row>
    <row r="148" spans="1:6" x14ac:dyDescent="0.25">
      <c r="A148" s="3"/>
      <c r="B148" s="4"/>
      <c r="C148" s="4"/>
      <c r="D148" s="4"/>
      <c r="E148" s="4"/>
      <c r="F148" s="4"/>
    </row>
    <row r="149" spans="1:6" x14ac:dyDescent="0.25">
      <c r="A149" s="3"/>
      <c r="B149" s="4"/>
      <c r="C149" s="4"/>
      <c r="D149" s="4"/>
      <c r="E149" s="4"/>
      <c r="F149" s="4"/>
    </row>
    <row r="150" spans="1:6" x14ac:dyDescent="0.25">
      <c r="A150" s="3"/>
      <c r="B150" s="4"/>
      <c r="C150" s="4"/>
      <c r="D150" s="4"/>
      <c r="E150" s="4"/>
      <c r="F150" s="4"/>
    </row>
    <row r="151" spans="1:6" x14ac:dyDescent="0.25">
      <c r="A151" s="3"/>
      <c r="B151" s="4"/>
      <c r="C151" s="4"/>
      <c r="D151" s="4"/>
      <c r="E151" s="4"/>
      <c r="F151" s="4"/>
    </row>
    <row r="152" spans="1:6" x14ac:dyDescent="0.25">
      <c r="A152" s="3"/>
      <c r="B152" s="4"/>
      <c r="C152" s="4"/>
      <c r="D152" s="4"/>
      <c r="E152" s="4"/>
      <c r="F152" s="4"/>
    </row>
    <row r="153" spans="1:6" x14ac:dyDescent="0.25">
      <c r="A153" s="3"/>
      <c r="B153" s="4"/>
      <c r="C153" s="4"/>
      <c r="D153" s="4"/>
      <c r="E153" s="4"/>
      <c r="F153" s="4"/>
    </row>
    <row r="154" spans="1:6" x14ac:dyDescent="0.25">
      <c r="A154" s="3"/>
      <c r="B154" s="4"/>
      <c r="C154" s="4"/>
      <c r="D154" s="4"/>
      <c r="E154" s="4"/>
      <c r="F154" s="4"/>
    </row>
    <row r="155" spans="1:6" x14ac:dyDescent="0.25">
      <c r="A155" s="3"/>
      <c r="B155" s="4"/>
      <c r="C155" s="4"/>
      <c r="D155" s="4"/>
      <c r="E155" s="4"/>
      <c r="F155" s="4"/>
    </row>
    <row r="156" spans="1:6" x14ac:dyDescent="0.25">
      <c r="A156" s="3"/>
      <c r="B156" s="4"/>
      <c r="C156" s="4"/>
      <c r="D156" s="4"/>
      <c r="E156" s="4"/>
      <c r="F156" s="4"/>
    </row>
    <row r="157" spans="1:6" x14ac:dyDescent="0.25">
      <c r="A157" s="3"/>
      <c r="B157" s="4"/>
      <c r="C157" s="4"/>
      <c r="D157" s="4"/>
      <c r="E157" s="4"/>
      <c r="F157" s="4"/>
    </row>
    <row r="158" spans="1:6" x14ac:dyDescent="0.25">
      <c r="A158" s="3"/>
      <c r="B158" s="4"/>
      <c r="C158" s="4"/>
      <c r="D158" s="4"/>
      <c r="E158" s="4"/>
      <c r="F158" s="4"/>
    </row>
  </sheetData>
  <conditionalFormatting sqref="L8:L9">
    <cfRule type="duplicateValues" dxfId="0" priority="1"/>
  </conditionalFormatting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Metody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Portege</dc:creator>
  <cp:lastModifiedBy>User</cp:lastModifiedBy>
  <dcterms:created xsi:type="dcterms:W3CDTF">2020-03-09T12:55:22Z</dcterms:created>
  <dcterms:modified xsi:type="dcterms:W3CDTF">2020-04-10T17:03:54Z</dcterms:modified>
</cp:coreProperties>
</file>