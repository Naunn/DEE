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Studia\IV semestr\Wprowadzenie do eksploracji danych\"/>
    </mc:Choice>
  </mc:AlternateContent>
  <xr:revisionPtr revIDLastSave="0" documentId="13_ncr:1_{41E40C45-7121-46A0-911D-AAF05E6CC8EA}" xr6:coauthVersionLast="45" xr6:coauthVersionMax="45" xr10:uidLastSave="{00000000-0000-0000-0000-000000000000}"/>
  <bookViews>
    <workbookView xWindow="-120" yWindow="-120" windowWidth="29040" windowHeight="15840" xr2:uid="{BA167445-EBD7-4985-8AC5-F29174144F3B}"/>
  </bookViews>
  <sheets>
    <sheet name="Metod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6" i="1" l="1"/>
  <c r="H6" i="1"/>
  <c r="N13" i="1" l="1"/>
  <c r="M13" i="1"/>
  <c r="O12" i="1"/>
  <c r="N12" i="1"/>
  <c r="M12" i="1"/>
  <c r="M7" i="1"/>
  <c r="M6" i="1"/>
  <c r="M5" i="1"/>
  <c r="M4" i="1"/>
  <c r="L24" i="1" l="1"/>
  <c r="M26" i="1"/>
  <c r="M24" i="1"/>
  <c r="L27" i="1"/>
  <c r="L26" i="1"/>
  <c r="L25" i="1"/>
  <c r="O27" i="1"/>
  <c r="N27" i="1"/>
  <c r="M27" i="1"/>
  <c r="O26" i="1"/>
  <c r="N26" i="1"/>
  <c r="O25" i="1"/>
  <c r="N25" i="1"/>
  <c r="M25" i="1"/>
  <c r="O24" i="1"/>
  <c r="N24" i="1"/>
  <c r="L18" i="1"/>
  <c r="O21" i="1"/>
  <c r="N21" i="1"/>
  <c r="M21" i="1"/>
  <c r="L21" i="1"/>
  <c r="O20" i="1"/>
  <c r="N20" i="1"/>
  <c r="M20" i="1"/>
  <c r="L20" i="1"/>
  <c r="O19" i="1"/>
  <c r="N19" i="1"/>
  <c r="M19" i="1"/>
  <c r="L19" i="1"/>
  <c r="O18" i="1"/>
  <c r="N18" i="1"/>
  <c r="M18" i="1"/>
  <c r="O15" i="1"/>
  <c r="N15" i="1"/>
  <c r="M15" i="1"/>
  <c r="L15" i="1"/>
  <c r="O14" i="1"/>
  <c r="N14" i="1"/>
  <c r="M14" i="1"/>
  <c r="L14" i="1"/>
  <c r="O13" i="1"/>
  <c r="L13" i="1"/>
  <c r="L12" i="1"/>
  <c r="L7" i="1"/>
  <c r="L6" i="1"/>
  <c r="K7" i="1"/>
  <c r="K6" i="1"/>
  <c r="M30" i="1" l="1"/>
  <c r="O30" i="1"/>
  <c r="N30" i="1"/>
  <c r="O32" i="1"/>
  <c r="L31" i="1"/>
  <c r="N31" i="1"/>
  <c r="M33" i="1"/>
  <c r="N33" i="1"/>
  <c r="N32" i="1"/>
  <c r="O33" i="1"/>
  <c r="L30" i="1"/>
  <c r="L32" i="1"/>
  <c r="M32" i="1"/>
  <c r="L33" i="1"/>
  <c r="M31" i="1"/>
  <c r="O31" i="1"/>
  <c r="S13" i="1" a="1"/>
  <c r="S13" i="1" s="1"/>
  <c r="O9" i="1" a="1"/>
  <c r="O9" i="1" s="1"/>
  <c r="L36" i="1" l="1" a="1"/>
  <c r="O36" i="1" s="1"/>
  <c r="S14" i="1"/>
  <c r="S15" i="1"/>
  <c r="S16" i="1"/>
  <c r="P9" i="1"/>
  <c r="R9" i="1"/>
  <c r="Q9" i="1"/>
  <c r="L37" i="1" l="1"/>
  <c r="M39" i="1"/>
  <c r="L38" i="1"/>
  <c r="N38" i="1"/>
  <c r="M38" i="1"/>
  <c r="N39" i="1"/>
  <c r="N37" i="1"/>
  <c r="L39" i="1"/>
  <c r="O37" i="1"/>
  <c r="M37" i="1"/>
  <c r="O38" i="1"/>
  <c r="O39" i="1"/>
  <c r="M36" i="1"/>
  <c r="L36" i="1"/>
  <c r="N36" i="1"/>
  <c r="Q25" i="1" a="1"/>
  <c r="Q25" i="1" s="1"/>
  <c r="K45" i="1" l="1" a="1"/>
  <c r="K45" i="1" s="1"/>
  <c r="R25" i="1"/>
  <c r="S25" i="1"/>
  <c r="T25" i="1"/>
  <c r="N45" i="1" l="1" a="1"/>
  <c r="N45" i="1" s="1"/>
  <c r="L5" i="1"/>
  <c r="L4" i="1"/>
  <c r="K5" i="1"/>
  <c r="K4" i="1"/>
  <c r="R13" i="1" l="1" a="1"/>
  <c r="R15" i="1" s="1"/>
  <c r="Q13" i="1" a="1"/>
  <c r="Q13" i="1" s="1"/>
  <c r="O6" i="1" a="1"/>
  <c r="O3" i="1" a="1"/>
  <c r="R14" i="1" l="1"/>
  <c r="R16" i="1"/>
  <c r="R13" i="1"/>
  <c r="Q14" i="1"/>
  <c r="Q15" i="1"/>
  <c r="Q16" i="1"/>
  <c r="O3" i="1"/>
  <c r="P3" i="1"/>
  <c r="R3" i="1"/>
  <c r="K43" i="1" s="1" a="1"/>
  <c r="K43" i="1" s="1"/>
  <c r="Q3" i="1"/>
  <c r="O6" i="1"/>
  <c r="K44" i="1" s="1" a="1"/>
  <c r="K44" i="1" s="1"/>
  <c r="R6" i="1"/>
  <c r="Q6" i="1"/>
  <c r="P6" i="1"/>
  <c r="Q19" i="1" l="1" a="1"/>
  <c r="Q19" i="1" s="1"/>
  <c r="Q22" i="1" a="1"/>
  <c r="T19" i="1" l="1"/>
  <c r="R19" i="1"/>
  <c r="S19" i="1"/>
  <c r="Q22" i="1"/>
  <c r="T22" i="1"/>
  <c r="S22" i="1"/>
  <c r="R22" i="1"/>
  <c r="K46" i="1"/>
  <c r="N43" i="1" l="1" a="1"/>
  <c r="N43" i="1" s="1"/>
  <c r="N44" i="1" a="1"/>
  <c r="N44" i="1" s="1"/>
  <c r="N46" i="1" l="1"/>
</calcChain>
</file>

<file path=xl/sharedStrings.xml><?xml version="1.0" encoding="utf-8"?>
<sst xmlns="http://schemas.openxmlformats.org/spreadsheetml/2006/main" count="239" uniqueCount="34">
  <si>
    <t>sl</t>
  </si>
  <si>
    <t>sw</t>
  </si>
  <si>
    <t>pl</t>
  </si>
  <si>
    <t>pw</t>
  </si>
  <si>
    <t>Cl</t>
  </si>
  <si>
    <t>Iris-setosa</t>
  </si>
  <si>
    <t>Iris-versicolor</t>
  </si>
  <si>
    <t>Wartości średnie cech</t>
  </si>
  <si>
    <t>Klasa 0</t>
  </si>
  <si>
    <t>Klasa 0 (Se)</t>
  </si>
  <si>
    <t>Klasa 1 (Ve)</t>
  </si>
  <si>
    <t>Maciecze kowariancji</t>
  </si>
  <si>
    <t>Klasa 1</t>
  </si>
  <si>
    <t>mi_0^T</t>
  </si>
  <si>
    <t>mi_1^T</t>
  </si>
  <si>
    <t>Uwspólniona macierz</t>
  </si>
  <si>
    <t>Uwspólniona macierz odwrócona</t>
  </si>
  <si>
    <t>Parametry</t>
  </si>
  <si>
    <t>QDA</t>
  </si>
  <si>
    <t>Klasyfikacja</t>
  </si>
  <si>
    <t>(x-mi_0)^T</t>
  </si>
  <si>
    <t>(x-mi_1)^T</t>
  </si>
  <si>
    <t>x-mi_0</t>
  </si>
  <si>
    <t>x-mi_1</t>
  </si>
  <si>
    <t>Iris-virginica</t>
  </si>
  <si>
    <t>Klasa 2</t>
  </si>
  <si>
    <t>x-mi_2</t>
  </si>
  <si>
    <t>mi_2^T</t>
  </si>
  <si>
    <t>(x-mi_2)^T</t>
  </si>
  <si>
    <t>LDA</t>
  </si>
  <si>
    <t>mi_0</t>
  </si>
  <si>
    <t>mi_1</t>
  </si>
  <si>
    <t>mi_2</t>
  </si>
  <si>
    <t>Skuteczność algorytmu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</si>
</sst>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</font>
    <font>
      <sz val="11"/>
      <color rgb="FF3F3F76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2" borderId="2" applyNumberFormat="0" applyAlignment="0" applyProtection="0"/>
    <xf numFmtId="9" fontId="5" fillId="0" borderId="0" applyFont="0" applyFill="0" applyBorder="0" applyAlignment="0" applyProtection="0"/>
  </cellStyleXfs>
  <cellXfs count="44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1" xfId="0" applyBorder="1"/>
    <xf numFmtId="0" fontId="0" fillId="0" borderId="4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3" fillId="0" borderId="3" xfId="0" applyFont="1" applyBorder="1" applyAlignment="1">
      <alignment vertical="center"/>
    </xf>
    <xf numFmtId="0" fontId="3" fillId="0" borderId="3" xfId="0" applyFont="1" applyBorder="1" applyAlignment="1"/>
    <xf numFmtId="0" fontId="3" fillId="0" borderId="3" xfId="0" applyFont="1" applyBorder="1"/>
    <xf numFmtId="0" fontId="3" fillId="0" borderId="6" xfId="0" applyFont="1" applyBorder="1"/>
    <xf numFmtId="0" fontId="2" fillId="2" borderId="2" xfId="1"/>
    <xf numFmtId="164" fontId="2" fillId="2" borderId="2" xfId="1" applyNumberFormat="1"/>
    <xf numFmtId="0" fontId="3" fillId="0" borderId="1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5" xfId="0" applyFont="1" applyBorder="1"/>
    <xf numFmtId="0" fontId="3" fillId="0" borderId="10" xfId="0" applyFont="1" applyBorder="1"/>
    <xf numFmtId="0" fontId="0" fillId="0" borderId="13" xfId="0" applyBorder="1"/>
    <xf numFmtId="0" fontId="1" fillId="0" borderId="11" xfId="0" applyFont="1" applyFill="1" applyBorder="1" applyAlignment="1">
      <alignment horizontal="left" vertical="center"/>
    </xf>
    <xf numFmtId="0" fontId="3" fillId="0" borderId="12" xfId="0" applyFont="1" applyBorder="1"/>
    <xf numFmtId="0" fontId="3" fillId="0" borderId="11" xfId="0" applyFont="1" applyBorder="1"/>
    <xf numFmtId="0" fontId="3" fillId="0" borderId="14" xfId="0" applyFont="1" applyBorder="1"/>
    <xf numFmtId="0" fontId="2" fillId="2" borderId="15" xfId="1" applyBorder="1"/>
    <xf numFmtId="0" fontId="3" fillId="0" borderId="1" xfId="0" applyFont="1" applyFill="1" applyBorder="1"/>
    <xf numFmtId="0" fontId="0" fillId="0" borderId="5" xfId="0" applyBorder="1"/>
    <xf numFmtId="0" fontId="0" fillId="0" borderId="10" xfId="0" applyBorder="1"/>
    <xf numFmtId="0" fontId="0" fillId="0" borderId="11" xfId="0" applyBorder="1"/>
    <xf numFmtId="0" fontId="1" fillId="0" borderId="1" xfId="0" applyFont="1" applyFill="1" applyBorder="1" applyAlignment="1">
      <alignment horizontal="center" vertical="top"/>
    </xf>
    <xf numFmtId="0" fontId="2" fillId="2" borderId="1" xfId="1" applyBorder="1"/>
    <xf numFmtId="0" fontId="3" fillId="0" borderId="17" xfId="0" applyFont="1" applyBorder="1" applyAlignment="1">
      <alignment horizontal="center"/>
    </xf>
    <xf numFmtId="0" fontId="0" fillId="0" borderId="18" xfId="0" applyFont="1" applyBorder="1" applyAlignment="1">
      <alignment horizontal="left"/>
    </xf>
    <xf numFmtId="0" fontId="0" fillId="0" borderId="8" xfId="0" applyBorder="1"/>
    <xf numFmtId="0" fontId="3" fillId="0" borderId="16" xfId="0" applyFont="1" applyBorder="1"/>
    <xf numFmtId="165" fontId="4" fillId="0" borderId="0" xfId="0" applyNumberFormat="1" applyFont="1"/>
    <xf numFmtId="0" fontId="4" fillId="0" borderId="0" xfId="0" applyFont="1"/>
    <xf numFmtId="165" fontId="0" fillId="0" borderId="0" xfId="0" applyNumberFormat="1"/>
    <xf numFmtId="165" fontId="0" fillId="0" borderId="12" xfId="0" applyNumberFormat="1" applyBorder="1"/>
    <xf numFmtId="0" fontId="0" fillId="0" borderId="3" xfId="0" applyBorder="1"/>
    <xf numFmtId="165" fontId="4" fillId="0" borderId="19" xfId="0" applyNumberFormat="1" applyFont="1" applyBorder="1"/>
    <xf numFmtId="0" fontId="4" fillId="0" borderId="19" xfId="0" applyFont="1" applyBorder="1"/>
    <xf numFmtId="165" fontId="0" fillId="0" borderId="9" xfId="0" applyNumberFormat="1" applyBorder="1"/>
    <xf numFmtId="0" fontId="3" fillId="0" borderId="3" xfId="0" applyFont="1" applyBorder="1" applyAlignment="1">
      <alignment horizontal="center"/>
    </xf>
    <xf numFmtId="9" fontId="0" fillId="0" borderId="20" xfId="2" applyFont="1" applyBorder="1" applyAlignment="1">
      <alignment horizontal="center"/>
    </xf>
  </cellXfs>
  <cellStyles count="3">
    <cellStyle name="Dane wejściowe" xfId="1" builtinId="20"/>
    <cellStyle name="Normalny" xfId="0" builtinId="0"/>
    <cellStyle name="Procentowy" xfId="2" builtinId="5"/>
  </cellStyles>
  <dxfs count="8">
    <dxf>
      <fill>
        <patternFill>
          <bgColor rgb="FFFF5050"/>
        </patternFill>
      </fill>
    </dxf>
    <dxf>
      <fill>
        <patternFill>
          <bgColor rgb="FFFF5050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5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5050"/>
      <color rgb="FFFF7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476250</xdr:colOff>
      <xdr:row>0</xdr:row>
      <xdr:rowOff>154782</xdr:rowOff>
    </xdr:from>
    <xdr:to>
      <xdr:col>2</xdr:col>
      <xdr:colOff>176212</xdr:colOff>
      <xdr:row>5</xdr:row>
      <xdr:rowOff>69057</xdr:rowOff>
    </xdr:to>
    <xdr:pic macro="[0]!Klasyfikacja">
      <xdr:nvPicPr>
        <xdr:cNvPr id="4" name="Grafika 3" descr="Głowa z kołami zębatymi">
          <a:extLst>
            <a:ext uri="{FF2B5EF4-FFF2-40B4-BE49-F238E27FC236}">
              <a16:creationId xmlns:a16="http://schemas.microsoft.com/office/drawing/2014/main" id="{D2F5E87A-E2E8-4DB7-9C0C-1C9BB3C6FA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76250" y="154782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BA149-AB3A-4487-B7B4-FE3EC6F00D6A}">
  <sheetPr codeName="Arkusz1"/>
  <dimension ref="A2:T158"/>
  <sheetViews>
    <sheetView tabSelected="1" topLeftCell="A61" zoomScale="80" zoomScaleNormal="80" workbookViewId="0">
      <selection activeCell="J17" sqref="J17"/>
    </sheetView>
  </sheetViews>
  <sheetFormatPr defaultRowHeight="15" x14ac:dyDescent="0.25"/>
  <cols>
    <col min="3" max="3" width="9.140625" customWidth="1"/>
    <col min="4" max="4" width="10.140625" customWidth="1"/>
    <col min="5" max="5" width="9.85546875" customWidth="1"/>
    <col min="6" max="6" width="14.85546875" bestFit="1" customWidth="1"/>
    <col min="7" max="7" width="6.85546875" customWidth="1"/>
    <col min="8" max="8" width="6.7109375" customWidth="1"/>
    <col min="9" max="9" width="12.7109375" bestFit="1" customWidth="1"/>
    <col min="10" max="10" width="31" customWidth="1"/>
    <col min="11" max="12" width="13.7109375" bestFit="1" customWidth="1"/>
    <col min="13" max="13" width="18.7109375" customWidth="1"/>
    <col min="14" max="14" width="13.7109375" bestFit="1" customWidth="1"/>
    <col min="15" max="15" width="16.28515625" bestFit="1" customWidth="1"/>
    <col min="16" max="16" width="12.42578125" customWidth="1"/>
    <col min="17" max="17" width="11" bestFit="1" customWidth="1"/>
  </cols>
  <sheetData>
    <row r="2" spans="1:19" ht="15.75" thickBot="1" x14ac:dyDescent="0.3">
      <c r="J2" s="7" t="s">
        <v>7</v>
      </c>
      <c r="K2" s="8" t="s">
        <v>9</v>
      </c>
      <c r="L2" s="9" t="s">
        <v>10</v>
      </c>
      <c r="O2" s="24" t="s">
        <v>13</v>
      </c>
    </row>
    <row r="3" spans="1:19" ht="15.75" thickBot="1" x14ac:dyDescent="0.3">
      <c r="D3" s="38" t="s">
        <v>0</v>
      </c>
      <c r="E3" s="38" t="s">
        <v>1</v>
      </c>
      <c r="F3" s="38" t="s">
        <v>2</v>
      </c>
      <c r="G3" s="38" t="s">
        <v>3</v>
      </c>
      <c r="J3" s="6"/>
      <c r="K3" t="s">
        <v>30</v>
      </c>
      <c r="L3" t="s">
        <v>31</v>
      </c>
      <c r="M3" t="s">
        <v>32</v>
      </c>
      <c r="O3" s="11">
        <f t="array" ref="O3:R3">TRANSPOSE(K4:K7)</f>
        <v>5.0059999999999993</v>
      </c>
      <c r="P3" s="11">
        <v>3.4180000000000006</v>
      </c>
      <c r="Q3" s="11">
        <v>1.464</v>
      </c>
      <c r="R3" s="11">
        <v>0.24399999999999991</v>
      </c>
    </row>
    <row r="4" spans="1:19" ht="15.75" thickBot="1" x14ac:dyDescent="0.3">
      <c r="D4" s="39">
        <v>5.9</v>
      </c>
      <c r="E4" s="40">
        <v>3</v>
      </c>
      <c r="F4" s="40">
        <v>5.0999999999999996</v>
      </c>
      <c r="G4" s="40">
        <v>1.8</v>
      </c>
      <c r="J4" s="10" t="s">
        <v>0</v>
      </c>
      <c r="K4" s="11">
        <f>AVERAGE(B9:B58)</f>
        <v>5.0059999999999993</v>
      </c>
      <c r="L4" s="11">
        <f>AVERAGE(B59:B108)</f>
        <v>5.9359999999999999</v>
      </c>
      <c r="M4" s="12">
        <f>AVERAGE(B109:B158)</f>
        <v>6.5879999999999983</v>
      </c>
    </row>
    <row r="5" spans="1:19" ht="15.75" thickTop="1" x14ac:dyDescent="0.25">
      <c r="J5" s="10" t="s">
        <v>1</v>
      </c>
      <c r="K5" s="11">
        <f>AVERAGE(C9:C58)</f>
        <v>3.4180000000000006</v>
      </c>
      <c r="L5" s="12">
        <f>AVERAGE(C59:C108)</f>
        <v>2.7700000000000005</v>
      </c>
      <c r="M5" s="12">
        <f>AVERAGE(C109:C158)</f>
        <v>2.9739999999999998</v>
      </c>
      <c r="O5" s="13" t="s">
        <v>14</v>
      </c>
    </row>
    <row r="6" spans="1:19" ht="15.75" thickBot="1" x14ac:dyDescent="0.3">
      <c r="E6" s="42" t="s">
        <v>33</v>
      </c>
      <c r="F6" s="42"/>
      <c r="G6" s="43">
        <f>COUNTIF(G9:G58,0)/150+COUNTIF(G59:G108,1)/150+COUNTIF(G109:G158,2)/150</f>
        <v>0.98</v>
      </c>
      <c r="H6" s="43">
        <f>COUNTIF(H9:H58,0)/150+COUNTIF(H59:H108,1)/150+COUNTIF(H109:H158,2)/150</f>
        <v>0.98</v>
      </c>
      <c r="J6" s="10" t="s">
        <v>2</v>
      </c>
      <c r="K6" s="11">
        <f>AVERAGE(D9:D58)</f>
        <v>1.464</v>
      </c>
      <c r="L6" s="12">
        <f>AVERAGE(D59:D108)</f>
        <v>4.26</v>
      </c>
      <c r="M6" s="12">
        <f>AVERAGE(D109:D158)</f>
        <v>5.5519999999999996</v>
      </c>
      <c r="O6" s="11">
        <f t="array" ref="O6:R6">TRANSPOSE(L4:L7)</f>
        <v>5.9359999999999999</v>
      </c>
      <c r="P6" s="12">
        <v>2.7700000000000005</v>
      </c>
      <c r="Q6" s="12">
        <v>4.26</v>
      </c>
      <c r="R6" s="11">
        <v>1.3259999999999998</v>
      </c>
    </row>
    <row r="7" spans="1:19" x14ac:dyDescent="0.25">
      <c r="J7" s="10" t="s">
        <v>3</v>
      </c>
      <c r="K7" s="11">
        <f>AVERAGE(E9:E58)</f>
        <v>0.24399999999999991</v>
      </c>
      <c r="L7" s="12">
        <f>AVERAGE(E59:E108)</f>
        <v>1.3259999999999998</v>
      </c>
      <c r="M7" s="12">
        <f>AVERAGE(E109:E158)</f>
        <v>2.0259999999999998</v>
      </c>
    </row>
    <row r="8" spans="1:19" x14ac:dyDescent="0.25">
      <c r="B8" s="1" t="s">
        <v>0</v>
      </c>
      <c r="C8" s="1" t="s">
        <v>1</v>
      </c>
      <c r="D8" s="1" t="s">
        <v>2</v>
      </c>
      <c r="E8" s="1" t="s">
        <v>3</v>
      </c>
      <c r="F8" s="1" t="s">
        <v>4</v>
      </c>
      <c r="G8" s="28" t="s">
        <v>29</v>
      </c>
      <c r="H8" s="28" t="s">
        <v>18</v>
      </c>
      <c r="O8" s="13" t="s">
        <v>27</v>
      </c>
    </row>
    <row r="9" spans="1:19" x14ac:dyDescent="0.25">
      <c r="A9" s="1">
        <v>1</v>
      </c>
      <c r="B9" s="34">
        <v>5.0999999999999996</v>
      </c>
      <c r="C9" s="35">
        <v>3.5</v>
      </c>
      <c r="D9" s="35">
        <v>1.4</v>
      </c>
      <c r="E9" s="35">
        <v>0.2</v>
      </c>
      <c r="F9" s="35" t="s">
        <v>5</v>
      </c>
      <c r="G9" s="4">
        <v>0</v>
      </c>
      <c r="H9" s="3">
        <v>0</v>
      </c>
      <c r="O9" s="11">
        <f t="array" ref="O9:R9">TRANSPOSE(M4:M7)</f>
        <v>6.5879999999999983</v>
      </c>
      <c r="P9" s="12">
        <v>2.9739999999999998</v>
      </c>
      <c r="Q9" s="11">
        <v>5.5519999999999996</v>
      </c>
      <c r="R9" s="11">
        <v>2.0259999999999998</v>
      </c>
    </row>
    <row r="10" spans="1:19" x14ac:dyDescent="0.25">
      <c r="A10" s="1">
        <v>2</v>
      </c>
      <c r="B10" s="36">
        <v>4.9000000000000004</v>
      </c>
      <c r="C10">
        <v>3</v>
      </c>
      <c r="D10">
        <v>1.4</v>
      </c>
      <c r="E10">
        <v>0.2</v>
      </c>
      <c r="F10" t="s">
        <v>5</v>
      </c>
      <c r="G10" s="4">
        <v>0</v>
      </c>
      <c r="H10" s="3">
        <v>0</v>
      </c>
    </row>
    <row r="11" spans="1:19" ht="15.75" thickBot="1" x14ac:dyDescent="0.3">
      <c r="A11" s="1">
        <v>3</v>
      </c>
      <c r="B11" s="36">
        <v>4.7</v>
      </c>
      <c r="C11">
        <v>3.2</v>
      </c>
      <c r="D11">
        <v>1.3</v>
      </c>
      <c r="E11">
        <v>0.2</v>
      </c>
      <c r="F11" t="s">
        <v>5</v>
      </c>
      <c r="G11" s="4">
        <v>0</v>
      </c>
      <c r="H11" s="3">
        <v>0</v>
      </c>
      <c r="J11" s="22" t="s">
        <v>11</v>
      </c>
      <c r="K11" s="15" t="s">
        <v>8</v>
      </c>
      <c r="L11" s="16" t="s">
        <v>0</v>
      </c>
      <c r="M11" s="16" t="s">
        <v>1</v>
      </c>
      <c r="N11" s="16" t="s">
        <v>2</v>
      </c>
      <c r="O11" s="17" t="s">
        <v>3</v>
      </c>
    </row>
    <row r="12" spans="1:19" x14ac:dyDescent="0.25">
      <c r="A12" s="1">
        <v>4</v>
      </c>
      <c r="B12" s="36">
        <v>4.5999999999999996</v>
      </c>
      <c r="C12">
        <v>3.1</v>
      </c>
      <c r="D12">
        <v>1.5</v>
      </c>
      <c r="E12">
        <v>0.2</v>
      </c>
      <c r="F12" t="s">
        <v>5</v>
      </c>
      <c r="G12" s="4">
        <v>0</v>
      </c>
      <c r="H12" s="3">
        <v>0</v>
      </c>
      <c r="K12" s="19" t="s">
        <v>0</v>
      </c>
      <c r="L12" s="11">
        <f>_xlfn.COVARIANCE.P(B9:B58,B9:B58)</f>
        <v>0.12176399999999993</v>
      </c>
      <c r="M12" s="11">
        <f>_xlfn.COVARIANCE.P(B9:B58,C9:C58)</f>
        <v>9.8291999999999963E-2</v>
      </c>
      <c r="N12" s="11">
        <f>_xlfn.COVARIANCE.P(B9:B58,D9:D58)</f>
        <v>1.5815999999999993E-2</v>
      </c>
      <c r="O12" s="11">
        <f>_xlfn.COVARIANCE.P(B9:B58,E9:E58)</f>
        <v>1.0335999999999994E-2</v>
      </c>
      <c r="Q12" s="14" t="s">
        <v>22</v>
      </c>
      <c r="R12" s="33" t="s">
        <v>23</v>
      </c>
      <c r="S12" s="33" t="s">
        <v>26</v>
      </c>
    </row>
    <row r="13" spans="1:19" x14ac:dyDescent="0.25">
      <c r="A13" s="1">
        <v>5</v>
      </c>
      <c r="B13" s="36">
        <v>5</v>
      </c>
      <c r="C13">
        <v>3.6</v>
      </c>
      <c r="D13">
        <v>1.4</v>
      </c>
      <c r="E13">
        <v>0.2</v>
      </c>
      <c r="F13" t="s">
        <v>5</v>
      </c>
      <c r="G13" s="4">
        <v>0</v>
      </c>
      <c r="H13" s="3">
        <v>0</v>
      </c>
      <c r="K13" s="21" t="s">
        <v>1</v>
      </c>
      <c r="L13" s="11">
        <f>_xlfn.COVARIANCE.P(C9:C58,B9:B58)</f>
        <v>9.8291999999999963E-2</v>
      </c>
      <c r="M13" s="11">
        <f>_xlfn.COVARIANCE.P(C9:C58,C9:C58)</f>
        <v>0.14227600000000001</v>
      </c>
      <c r="N13" s="11">
        <f>_xlfn.COVARIANCE.P(C9:C58,D9:D58)</f>
        <v>1.1447999999999991E-2</v>
      </c>
      <c r="O13" s="11">
        <f>_xlfn.COVARIANCE.P(C9:C58,E9:E58)</f>
        <v>1.1207999999999994E-2</v>
      </c>
      <c r="Q13" s="11">
        <f t="array" ref="Q13:Q16">TRANSPOSE(D4:G4)-K4:K7</f>
        <v>0.89400000000000102</v>
      </c>
      <c r="R13" s="12">
        <f t="array" ref="R13:R16">TRANSPOSE(D4:G4)-L4:L7</f>
        <v>-3.5999999999999588E-2</v>
      </c>
      <c r="S13" s="11">
        <f t="array" ref="S13:S16">TRANSPOSE(D4:G4)-M4:M7</f>
        <v>-0.68799999999999795</v>
      </c>
    </row>
    <row r="14" spans="1:19" x14ac:dyDescent="0.25">
      <c r="A14" s="1">
        <v>6</v>
      </c>
      <c r="B14" s="36">
        <v>5.4</v>
      </c>
      <c r="C14">
        <v>3.9</v>
      </c>
      <c r="D14">
        <v>1.7</v>
      </c>
      <c r="E14">
        <v>0.4</v>
      </c>
      <c r="F14" t="s">
        <v>5</v>
      </c>
      <c r="G14" s="4">
        <v>0</v>
      </c>
      <c r="H14" s="3">
        <v>0</v>
      </c>
      <c r="K14" s="21" t="s">
        <v>2</v>
      </c>
      <c r="L14" s="11">
        <f>_xlfn.COVARIANCE.P(D9:D58,B9:B58)</f>
        <v>1.5815999999999993E-2</v>
      </c>
      <c r="M14" s="11">
        <f>_xlfn.COVARIANCE.P(D9:D58,C9:C58)</f>
        <v>1.1447999999999991E-2</v>
      </c>
      <c r="N14" s="11">
        <f>_xlfn.COVARIANCE.P(D9:D58,D9:D58)</f>
        <v>2.9504000000000009E-2</v>
      </c>
      <c r="O14" s="11">
        <f>_xlfn.COVARIANCE.P(D9:D58,E9:E58)</f>
        <v>5.5840000000000004E-3</v>
      </c>
      <c r="Q14" s="11">
        <v>-0.41800000000000059</v>
      </c>
      <c r="R14" s="12">
        <v>0.22999999999999954</v>
      </c>
      <c r="S14" s="11">
        <v>2.6000000000000245E-2</v>
      </c>
    </row>
    <row r="15" spans="1:19" x14ac:dyDescent="0.25">
      <c r="A15" s="1">
        <v>7</v>
      </c>
      <c r="B15" s="36">
        <v>4.5999999999999996</v>
      </c>
      <c r="C15">
        <v>3.4</v>
      </c>
      <c r="D15">
        <v>1.4</v>
      </c>
      <c r="E15">
        <v>0.3</v>
      </c>
      <c r="F15" t="s">
        <v>5</v>
      </c>
      <c r="G15" s="4">
        <v>0</v>
      </c>
      <c r="H15" s="3">
        <v>0</v>
      </c>
      <c r="K15" s="20" t="s">
        <v>3</v>
      </c>
      <c r="L15" s="11">
        <f>_xlfn.COVARIANCE.P(E9:E58,B9:B58)</f>
        <v>1.0335999999999994E-2</v>
      </c>
      <c r="M15" s="11">
        <f>_xlfn.COVARIANCE.P(E9:E58,C9:C58)</f>
        <v>1.1207999999999994E-2</v>
      </c>
      <c r="N15" s="11">
        <f>_xlfn.COVARIANCE.P(E9:E58,D9:D58)</f>
        <v>5.5840000000000004E-3</v>
      </c>
      <c r="O15" s="11">
        <f>_xlfn.COVARIANCE.P(E9:E58,E9:E58)</f>
        <v>1.1263999999999996E-2</v>
      </c>
      <c r="Q15" s="11">
        <v>3.6359999999999997</v>
      </c>
      <c r="R15" s="12">
        <v>0.83999999999999986</v>
      </c>
      <c r="S15" s="11">
        <v>-0.45199999999999996</v>
      </c>
    </row>
    <row r="16" spans="1:19" x14ac:dyDescent="0.25">
      <c r="A16" s="1">
        <v>8</v>
      </c>
      <c r="B16" s="36">
        <v>5</v>
      </c>
      <c r="C16">
        <v>3.4</v>
      </c>
      <c r="D16">
        <v>1.5</v>
      </c>
      <c r="E16">
        <v>0.2</v>
      </c>
      <c r="F16" t="s">
        <v>5</v>
      </c>
      <c r="G16" s="4">
        <v>0</v>
      </c>
      <c r="H16" s="3">
        <v>0</v>
      </c>
      <c r="Q16" s="11">
        <v>1.556</v>
      </c>
      <c r="R16" s="12">
        <v>0.4740000000000002</v>
      </c>
      <c r="S16" s="11">
        <v>-0.22599999999999976</v>
      </c>
    </row>
    <row r="17" spans="1:20" x14ac:dyDescent="0.25">
      <c r="A17" s="1">
        <v>9</v>
      </c>
      <c r="B17" s="36">
        <v>4.4000000000000004</v>
      </c>
      <c r="C17">
        <v>2.9</v>
      </c>
      <c r="D17">
        <v>1.4</v>
      </c>
      <c r="E17">
        <v>0.2</v>
      </c>
      <c r="F17" t="s">
        <v>5</v>
      </c>
      <c r="G17" s="4">
        <v>0</v>
      </c>
      <c r="H17" s="3">
        <v>0</v>
      </c>
      <c r="K17" s="15" t="s">
        <v>12</v>
      </c>
      <c r="L17" s="16" t="s">
        <v>0</v>
      </c>
      <c r="M17" s="16" t="s">
        <v>1</v>
      </c>
      <c r="N17" s="16" t="s">
        <v>2</v>
      </c>
      <c r="O17" s="17" t="s">
        <v>3</v>
      </c>
    </row>
    <row r="18" spans="1:20" x14ac:dyDescent="0.25">
      <c r="A18" s="1">
        <v>10</v>
      </c>
      <c r="B18" s="36">
        <v>4.9000000000000004</v>
      </c>
      <c r="C18">
        <v>3.1</v>
      </c>
      <c r="D18">
        <v>1.5</v>
      </c>
      <c r="E18">
        <v>0.1</v>
      </c>
      <c r="F18" t="s">
        <v>5</v>
      </c>
      <c r="G18" s="4">
        <v>0</v>
      </c>
      <c r="H18" s="3">
        <v>0</v>
      </c>
      <c r="K18" s="19" t="s">
        <v>0</v>
      </c>
      <c r="L18" s="11">
        <f>_xlfn.COVARIANCE.P(B59:B108,B59:B108)</f>
        <v>0.26110400000000011</v>
      </c>
      <c r="M18" s="11">
        <f>_xlfn.COVARIANCE.P(B59:B108,C59:C108)</f>
        <v>8.3479999999999985E-2</v>
      </c>
      <c r="N18" s="11">
        <f>_xlfn.COVARIANCE.P(B59:B108,D59:D108)</f>
        <v>0.17924000000000009</v>
      </c>
      <c r="O18" s="11">
        <f>_xlfn.COVARIANCE.P(B59:B108,E59:E108)</f>
        <v>5.4664000000000011E-2</v>
      </c>
      <c r="Q18" s="24" t="s">
        <v>20</v>
      </c>
    </row>
    <row r="19" spans="1:20" x14ac:dyDescent="0.25">
      <c r="A19" s="1">
        <v>11</v>
      </c>
      <c r="B19" s="36">
        <v>5.4</v>
      </c>
      <c r="C19">
        <v>3.7</v>
      </c>
      <c r="D19">
        <v>1.5</v>
      </c>
      <c r="E19">
        <v>0.2</v>
      </c>
      <c r="F19" t="s">
        <v>5</v>
      </c>
      <c r="G19" s="4">
        <v>0</v>
      </c>
      <c r="H19" s="3">
        <v>0</v>
      </c>
      <c r="K19" s="21" t="s">
        <v>1</v>
      </c>
      <c r="L19" s="11">
        <f>_xlfn.COVARIANCE.P(C59:C108,B59:B108)</f>
        <v>8.3479999999999985E-2</v>
      </c>
      <c r="M19" s="11">
        <f>_xlfn.COVARIANCE.P(C59:C108,C59:C108)</f>
        <v>9.6500000000000016E-2</v>
      </c>
      <c r="N19" s="11">
        <f>_xlfn.COVARIANCE.P(C59:C108,D59:D108)</f>
        <v>8.100000000000003E-2</v>
      </c>
      <c r="O19" s="11">
        <f>_xlfn.COVARIANCE.P(C59:C108,E59:E108)</f>
        <v>4.0379999999999999E-2</v>
      </c>
      <c r="Q19" s="23">
        <f t="array" ref="Q19:T19">D4:G4-O3:R3</f>
        <v>0.89400000000000102</v>
      </c>
      <c r="R19" s="12">
        <v>-0.41800000000000059</v>
      </c>
      <c r="S19" s="11">
        <v>3.6359999999999997</v>
      </c>
      <c r="T19" s="11">
        <v>1.556</v>
      </c>
    </row>
    <row r="20" spans="1:20" x14ac:dyDescent="0.25">
      <c r="A20" s="1">
        <v>12</v>
      </c>
      <c r="B20" s="36">
        <v>4.8</v>
      </c>
      <c r="C20">
        <v>3.4</v>
      </c>
      <c r="D20">
        <v>1.6</v>
      </c>
      <c r="E20">
        <v>0.2</v>
      </c>
      <c r="F20" t="s">
        <v>5</v>
      </c>
      <c r="G20" s="4">
        <v>0</v>
      </c>
      <c r="H20" s="3">
        <v>0</v>
      </c>
      <c r="K20" s="21" t="s">
        <v>2</v>
      </c>
      <c r="L20" s="11">
        <f>_xlfn.COVARIANCE.P(D59:D108,B59:B108)</f>
        <v>0.17924000000000009</v>
      </c>
      <c r="M20" s="11">
        <f>_xlfn.COVARIANCE.P(D59:D108,C59:C108)</f>
        <v>8.100000000000003E-2</v>
      </c>
      <c r="N20" s="11">
        <f>_xlfn.COVARIANCE.P(D59:D108,D59:D108)</f>
        <v>0.21640000000000012</v>
      </c>
      <c r="O20" s="11">
        <f>_xlfn.COVARIANCE.P(D59:D108,E59:E108)</f>
        <v>7.1639999999999995E-2</v>
      </c>
    </row>
    <row r="21" spans="1:20" x14ac:dyDescent="0.25">
      <c r="A21" s="1">
        <v>13</v>
      </c>
      <c r="B21" s="36">
        <v>4.8</v>
      </c>
      <c r="C21">
        <v>3</v>
      </c>
      <c r="D21">
        <v>1.4</v>
      </c>
      <c r="E21">
        <v>0.1</v>
      </c>
      <c r="F21" t="s">
        <v>5</v>
      </c>
      <c r="G21" s="4">
        <v>0</v>
      </c>
      <c r="H21" s="3">
        <v>0</v>
      </c>
      <c r="K21" s="20" t="s">
        <v>3</v>
      </c>
      <c r="L21" s="11">
        <f>_xlfn.COVARIANCE.P(E59:E108,B59:B108)</f>
        <v>5.4664000000000011E-2</v>
      </c>
      <c r="M21" s="11">
        <f>_xlfn.COVARIANCE.P(E59:E108,C59:C108)</f>
        <v>4.0379999999999999E-2</v>
      </c>
      <c r="N21" s="11">
        <f>_xlfn.COVARIANCE.P(E59:E108,D59:D108)</f>
        <v>7.1639999999999995E-2</v>
      </c>
      <c r="O21" s="11">
        <f>_xlfn.COVARIANCE.P(E59:E108,E59:E108)</f>
        <v>3.8323999999999983E-2</v>
      </c>
      <c r="Q21" s="24" t="s">
        <v>21</v>
      </c>
    </row>
    <row r="22" spans="1:20" x14ac:dyDescent="0.25">
      <c r="A22" s="1">
        <v>14</v>
      </c>
      <c r="B22" s="36">
        <v>4.3</v>
      </c>
      <c r="C22">
        <v>3</v>
      </c>
      <c r="D22">
        <v>1.1000000000000001</v>
      </c>
      <c r="E22">
        <v>0.1</v>
      </c>
      <c r="F22" t="s">
        <v>5</v>
      </c>
      <c r="G22" s="4">
        <v>0</v>
      </c>
      <c r="H22" s="3">
        <v>0</v>
      </c>
      <c r="Q22" s="23">
        <f t="array" ref="Q22:T22">D4:G4-O6:R6</f>
        <v>-3.5999999999999588E-2</v>
      </c>
      <c r="R22" s="12">
        <v>0.22999999999999954</v>
      </c>
      <c r="S22" s="12">
        <v>0.83999999999999986</v>
      </c>
      <c r="T22" s="11">
        <v>0.4740000000000002</v>
      </c>
    </row>
    <row r="23" spans="1:20" x14ac:dyDescent="0.25">
      <c r="A23" s="1">
        <v>15</v>
      </c>
      <c r="B23" s="36">
        <v>5.8</v>
      </c>
      <c r="C23">
        <v>4</v>
      </c>
      <c r="D23">
        <v>1.2</v>
      </c>
      <c r="E23">
        <v>0.2</v>
      </c>
      <c r="F23" t="s">
        <v>5</v>
      </c>
      <c r="G23" s="4">
        <v>0</v>
      </c>
      <c r="H23" s="3">
        <v>0</v>
      </c>
      <c r="K23" s="15" t="s">
        <v>25</v>
      </c>
      <c r="L23" s="16" t="s">
        <v>0</v>
      </c>
      <c r="M23" s="16" t="s">
        <v>1</v>
      </c>
      <c r="N23" s="16" t="s">
        <v>2</v>
      </c>
      <c r="O23" s="17" t="s">
        <v>3</v>
      </c>
    </row>
    <row r="24" spans="1:20" x14ac:dyDescent="0.25">
      <c r="A24" s="1">
        <v>16</v>
      </c>
      <c r="B24" s="36">
        <v>5.7</v>
      </c>
      <c r="C24">
        <v>4.4000000000000004</v>
      </c>
      <c r="D24">
        <v>1.5</v>
      </c>
      <c r="E24">
        <v>0.4</v>
      </c>
      <c r="F24" t="s">
        <v>5</v>
      </c>
      <c r="G24" s="4">
        <v>0</v>
      </c>
      <c r="H24" s="3">
        <v>0</v>
      </c>
      <c r="K24" s="19" t="s">
        <v>0</v>
      </c>
      <c r="L24" s="11">
        <f>_xlfn.COVARIANCE.P(B109:B158,B109:B158)</f>
        <v>0.39625599999999994</v>
      </c>
      <c r="M24" s="11">
        <f>_xlfn.COVARIANCE.P(B109:B158,C109:C158)</f>
        <v>9.1887999999999984E-2</v>
      </c>
      <c r="N24" s="11">
        <f>_xlfn.COVARIANCE.P(B109:B158,D109:D158)</f>
        <v>0.29722400000000004</v>
      </c>
      <c r="O24" s="11">
        <f>_xlfn.COVARIANCE.P(B109:B158,E109:E158)</f>
        <v>4.8112000000000023E-2</v>
      </c>
      <c r="Q24" s="24" t="s">
        <v>28</v>
      </c>
    </row>
    <row r="25" spans="1:20" x14ac:dyDescent="0.25">
      <c r="A25" s="1">
        <v>17</v>
      </c>
      <c r="B25" s="36">
        <v>5.4</v>
      </c>
      <c r="C25">
        <v>3.9</v>
      </c>
      <c r="D25">
        <v>1.3</v>
      </c>
      <c r="E25">
        <v>0.4</v>
      </c>
      <c r="F25" t="s">
        <v>5</v>
      </c>
      <c r="G25" s="4">
        <v>0</v>
      </c>
      <c r="H25" s="3">
        <v>0</v>
      </c>
      <c r="K25" s="21" t="s">
        <v>1</v>
      </c>
      <c r="L25" s="11">
        <f>_xlfn.COVARIANCE.P(C109:C158,B109:B158)</f>
        <v>9.1887999999999984E-2</v>
      </c>
      <c r="M25" s="11">
        <f>_xlfn.COVARIANCE.P(C109:C158,C109:C158)</f>
        <v>0.10192400000000007</v>
      </c>
      <c r="N25" s="11">
        <f>_xlfn.COVARIANCE.P(C109:C158,D109:D158)</f>
        <v>6.9951999999999973E-2</v>
      </c>
      <c r="O25" s="11">
        <f>_xlfn.COVARIANCE.P(C109:C158,E109:E158)</f>
        <v>4.6676000000000009E-2</v>
      </c>
      <c r="Q25" s="11">
        <f t="array" ref="Q25:T25">D4:G4-O9:R9</f>
        <v>-0.68799999999999795</v>
      </c>
      <c r="R25" s="12">
        <v>2.6000000000000245E-2</v>
      </c>
      <c r="S25" s="11">
        <v>-0.45199999999999996</v>
      </c>
      <c r="T25" s="11">
        <v>-0.22599999999999976</v>
      </c>
    </row>
    <row r="26" spans="1:20" x14ac:dyDescent="0.25">
      <c r="A26" s="1">
        <v>18</v>
      </c>
      <c r="B26" s="36">
        <v>5.0999999999999996</v>
      </c>
      <c r="C26">
        <v>3.5</v>
      </c>
      <c r="D26">
        <v>1.4</v>
      </c>
      <c r="E26">
        <v>0.3</v>
      </c>
      <c r="F26" t="s">
        <v>5</v>
      </c>
      <c r="G26" s="4">
        <v>0</v>
      </c>
      <c r="H26" s="3">
        <v>0</v>
      </c>
      <c r="I26" s="4"/>
      <c r="K26" s="21" t="s">
        <v>2</v>
      </c>
      <c r="L26" s="11">
        <f>_xlfn.COVARIANCE.P(D109:D158,B109:B158)</f>
        <v>0.29722400000000004</v>
      </c>
      <c r="M26" s="11">
        <f>_xlfn.COVARIANCE.P(D109:D158,C109:C158)</f>
        <v>6.9951999999999973E-2</v>
      </c>
      <c r="N26" s="11">
        <f>_xlfn.COVARIANCE.P(D109:D158,D109:D158)</f>
        <v>0.29849600000000021</v>
      </c>
      <c r="O26" s="11">
        <f>_xlfn.COVARIANCE.P(D109:D158,E109:E158)</f>
        <v>4.7848000000000009E-2</v>
      </c>
    </row>
    <row r="27" spans="1:20" x14ac:dyDescent="0.25">
      <c r="A27" s="1">
        <v>19</v>
      </c>
      <c r="B27" s="36">
        <v>5.7</v>
      </c>
      <c r="C27">
        <v>3.8</v>
      </c>
      <c r="D27">
        <v>1.7</v>
      </c>
      <c r="E27">
        <v>0.3</v>
      </c>
      <c r="F27" t="s">
        <v>5</v>
      </c>
      <c r="G27" s="4">
        <v>0</v>
      </c>
      <c r="H27" s="3">
        <v>0</v>
      </c>
      <c r="I27" s="4"/>
      <c r="K27" s="20" t="s">
        <v>3</v>
      </c>
      <c r="L27" s="11">
        <f>_xlfn.COVARIANCE.P(E109:E158,B109:B158)</f>
        <v>4.8112000000000023E-2</v>
      </c>
      <c r="M27" s="11">
        <f>_xlfn.COVARIANCE.P(E109:E158,C109:C158)</f>
        <v>4.6676000000000009E-2</v>
      </c>
      <c r="N27" s="11">
        <f>_xlfn.COVARIANCE.P(E109:E158,D109:D158)</f>
        <v>4.7848000000000009E-2</v>
      </c>
      <c r="O27" s="11">
        <f>_xlfn.COVARIANCE.P(E109:E158,E109:E158)</f>
        <v>7.392399999999999E-2</v>
      </c>
    </row>
    <row r="28" spans="1:20" x14ac:dyDescent="0.25">
      <c r="A28" s="1">
        <v>20</v>
      </c>
      <c r="B28" s="36">
        <v>5.0999999999999996</v>
      </c>
      <c r="C28">
        <v>3.8</v>
      </c>
      <c r="D28">
        <v>1.5</v>
      </c>
      <c r="E28">
        <v>0.3</v>
      </c>
      <c r="F28" t="s">
        <v>5</v>
      </c>
      <c r="G28" s="4">
        <v>0</v>
      </c>
      <c r="H28" s="3">
        <v>0</v>
      </c>
      <c r="I28" s="4"/>
    </row>
    <row r="29" spans="1:20" ht="15.75" thickBot="1" x14ac:dyDescent="0.3">
      <c r="A29" s="1">
        <v>21</v>
      </c>
      <c r="B29" s="36">
        <v>5.4</v>
      </c>
      <c r="C29">
        <v>3.4</v>
      </c>
      <c r="D29">
        <v>1.7</v>
      </c>
      <c r="E29">
        <v>0.2</v>
      </c>
      <c r="F29" t="s">
        <v>5</v>
      </c>
      <c r="G29" s="4">
        <v>0</v>
      </c>
      <c r="H29" s="3">
        <v>0</v>
      </c>
      <c r="I29" s="4"/>
      <c r="J29" s="9" t="s">
        <v>15</v>
      </c>
      <c r="K29" s="15"/>
      <c r="L29" s="16" t="s">
        <v>0</v>
      </c>
      <c r="M29" s="16" t="s">
        <v>1</v>
      </c>
      <c r="N29" s="16" t="s">
        <v>2</v>
      </c>
      <c r="O29" s="17" t="s">
        <v>3</v>
      </c>
    </row>
    <row r="30" spans="1:20" x14ac:dyDescent="0.25">
      <c r="A30" s="1">
        <v>22</v>
      </c>
      <c r="B30" s="36">
        <v>5.0999999999999996</v>
      </c>
      <c r="C30">
        <v>3.7</v>
      </c>
      <c r="D30">
        <v>1.5</v>
      </c>
      <c r="E30">
        <v>0.4</v>
      </c>
      <c r="F30" t="s">
        <v>5</v>
      </c>
      <c r="G30" s="4">
        <v>0</v>
      </c>
      <c r="H30" s="3">
        <v>0</v>
      </c>
      <c r="K30" s="21" t="s">
        <v>0</v>
      </c>
      <c r="L30" s="11">
        <f>AVERAGE(L12,L18,L24)</f>
        <v>0.25970799999999999</v>
      </c>
      <c r="M30" s="11">
        <f t="shared" ref="M30:O30" si="0">AVERAGE(M12,M18,M24)</f>
        <v>9.1219999999999968E-2</v>
      </c>
      <c r="N30" s="11">
        <f t="shared" si="0"/>
        <v>0.1640933333333334</v>
      </c>
      <c r="O30" s="11">
        <f t="shared" si="0"/>
        <v>3.7704000000000008E-2</v>
      </c>
    </row>
    <row r="31" spans="1:20" x14ac:dyDescent="0.25">
      <c r="A31" s="1">
        <v>23</v>
      </c>
      <c r="B31" s="36">
        <v>4.5999999999999996</v>
      </c>
      <c r="C31">
        <v>3.6</v>
      </c>
      <c r="D31">
        <v>1</v>
      </c>
      <c r="E31">
        <v>0.2</v>
      </c>
      <c r="F31" t="s">
        <v>5</v>
      </c>
      <c r="G31" s="4">
        <v>0</v>
      </c>
      <c r="H31" s="3">
        <v>0</v>
      </c>
      <c r="K31" s="21" t="s">
        <v>1</v>
      </c>
      <c r="L31" s="11">
        <f t="shared" ref="L31:O33" si="1">AVERAGE(L13,L19,L25)</f>
        <v>9.1219999999999968E-2</v>
      </c>
      <c r="M31" s="11">
        <f t="shared" si="1"/>
        <v>0.1135666666666667</v>
      </c>
      <c r="N31" s="11">
        <f t="shared" si="1"/>
        <v>5.4133333333333332E-2</v>
      </c>
      <c r="O31" s="11">
        <f t="shared" si="1"/>
        <v>3.2754666666666668E-2</v>
      </c>
    </row>
    <row r="32" spans="1:20" x14ac:dyDescent="0.25">
      <c r="A32" s="1">
        <v>24</v>
      </c>
      <c r="B32" s="36">
        <v>5.0999999999999996</v>
      </c>
      <c r="C32">
        <v>3.3</v>
      </c>
      <c r="D32">
        <v>1.7</v>
      </c>
      <c r="E32">
        <v>0.5</v>
      </c>
      <c r="F32" t="s">
        <v>5</v>
      </c>
      <c r="G32" s="4">
        <v>0</v>
      </c>
      <c r="H32" s="3">
        <v>0</v>
      </c>
      <c r="K32" s="21" t="s">
        <v>2</v>
      </c>
      <c r="L32" s="11">
        <f t="shared" si="1"/>
        <v>0.1640933333333334</v>
      </c>
      <c r="M32" s="11">
        <f t="shared" si="1"/>
        <v>5.4133333333333332E-2</v>
      </c>
      <c r="N32" s="11">
        <f t="shared" si="1"/>
        <v>0.18146666666666678</v>
      </c>
      <c r="O32" s="11">
        <f t="shared" si="1"/>
        <v>4.1690666666666674E-2</v>
      </c>
    </row>
    <row r="33" spans="1:15" x14ac:dyDescent="0.25">
      <c r="A33" s="1">
        <v>25</v>
      </c>
      <c r="B33" s="36">
        <v>4.8</v>
      </c>
      <c r="C33">
        <v>3.4</v>
      </c>
      <c r="D33">
        <v>1.9</v>
      </c>
      <c r="E33">
        <v>0.2</v>
      </c>
      <c r="F33" t="s">
        <v>5</v>
      </c>
      <c r="G33" s="4">
        <v>0</v>
      </c>
      <c r="H33" s="3">
        <v>0</v>
      </c>
      <c r="K33" s="20" t="s">
        <v>3</v>
      </c>
      <c r="L33" s="11">
        <f t="shared" si="1"/>
        <v>3.7704000000000008E-2</v>
      </c>
      <c r="M33" s="11">
        <f t="shared" si="1"/>
        <v>3.2754666666666668E-2</v>
      </c>
      <c r="N33" s="11">
        <f t="shared" si="1"/>
        <v>4.1690666666666674E-2</v>
      </c>
      <c r="O33" s="11">
        <f t="shared" si="1"/>
        <v>4.1170666666666654E-2</v>
      </c>
    </row>
    <row r="34" spans="1:15" x14ac:dyDescent="0.25">
      <c r="A34" s="1">
        <v>26</v>
      </c>
      <c r="B34" s="36">
        <v>5</v>
      </c>
      <c r="C34">
        <v>3</v>
      </c>
      <c r="D34">
        <v>1.6</v>
      </c>
      <c r="E34">
        <v>0.2</v>
      </c>
      <c r="F34" t="s">
        <v>5</v>
      </c>
      <c r="G34" s="4">
        <v>0</v>
      </c>
      <c r="H34" s="3">
        <v>0</v>
      </c>
    </row>
    <row r="35" spans="1:15" ht="15.75" thickBot="1" x14ac:dyDescent="0.3">
      <c r="A35" s="1">
        <v>27</v>
      </c>
      <c r="B35" s="36">
        <v>5</v>
      </c>
      <c r="C35">
        <v>3.4</v>
      </c>
      <c r="D35">
        <v>1.6</v>
      </c>
      <c r="E35">
        <v>0.4</v>
      </c>
      <c r="F35" t="s">
        <v>5</v>
      </c>
      <c r="G35" s="4">
        <v>0</v>
      </c>
      <c r="H35" s="3">
        <v>0</v>
      </c>
      <c r="J35" s="9" t="s">
        <v>16</v>
      </c>
      <c r="K35" s="15"/>
      <c r="L35" s="16" t="s">
        <v>0</v>
      </c>
      <c r="M35" s="16" t="s">
        <v>1</v>
      </c>
      <c r="N35" s="16" t="s">
        <v>2</v>
      </c>
      <c r="O35" s="17" t="s">
        <v>3</v>
      </c>
    </row>
    <row r="36" spans="1:15" x14ac:dyDescent="0.25">
      <c r="A36" s="1">
        <v>28</v>
      </c>
      <c r="B36" s="36">
        <v>5.2</v>
      </c>
      <c r="C36">
        <v>3.5</v>
      </c>
      <c r="D36">
        <v>1.5</v>
      </c>
      <c r="E36">
        <v>0.2</v>
      </c>
      <c r="F36" t="s">
        <v>5</v>
      </c>
      <c r="G36" s="4">
        <v>0</v>
      </c>
      <c r="H36" s="3">
        <v>0</v>
      </c>
      <c r="K36" s="21" t="s">
        <v>0</v>
      </c>
      <c r="L36" s="11">
        <f t="array" ref="L36:O39">MINVERSE(L30:O33)</f>
        <v>11.093097947752364</v>
      </c>
      <c r="M36" s="11">
        <v>-5.5584719939069762</v>
      </c>
      <c r="N36" s="11">
        <v>-9.1938141004272698</v>
      </c>
      <c r="O36" s="11">
        <v>3.5731258024463148</v>
      </c>
    </row>
    <row r="37" spans="1:15" x14ac:dyDescent="0.25">
      <c r="A37" s="1">
        <v>29</v>
      </c>
      <c r="B37" s="36">
        <v>5.2</v>
      </c>
      <c r="C37">
        <v>3.4</v>
      </c>
      <c r="D37">
        <v>1.4</v>
      </c>
      <c r="E37">
        <v>0.2</v>
      </c>
      <c r="F37" t="s">
        <v>5</v>
      </c>
      <c r="G37" s="4">
        <v>0</v>
      </c>
      <c r="H37" s="3">
        <v>0</v>
      </c>
      <c r="K37" s="21" t="s">
        <v>1</v>
      </c>
      <c r="L37" s="11">
        <v>-5.5584719939069762</v>
      </c>
      <c r="M37" s="11">
        <v>14.640405765107118</v>
      </c>
      <c r="N37" s="11">
        <v>2.8219071443791526</v>
      </c>
      <c r="O37" s="11">
        <v>-9.4147655150063922</v>
      </c>
    </row>
    <row r="38" spans="1:15" x14ac:dyDescent="0.25">
      <c r="A38" s="1">
        <v>30</v>
      </c>
      <c r="B38" s="36">
        <v>4.7</v>
      </c>
      <c r="C38">
        <v>3.2</v>
      </c>
      <c r="D38">
        <v>1.6</v>
      </c>
      <c r="E38">
        <v>0.2</v>
      </c>
      <c r="F38" t="s">
        <v>5</v>
      </c>
      <c r="G38" s="4">
        <v>0</v>
      </c>
      <c r="H38" s="3">
        <v>0</v>
      </c>
      <c r="K38" s="21" t="s">
        <v>2</v>
      </c>
      <c r="L38" s="11">
        <v>-9.1938141004272715</v>
      </c>
      <c r="M38" s="11">
        <v>2.8219071443791517</v>
      </c>
      <c r="N38" s="11">
        <v>15.069796626820558</v>
      </c>
      <c r="O38" s="11">
        <v>-9.085520328530384</v>
      </c>
    </row>
    <row r="39" spans="1:15" x14ac:dyDescent="0.25">
      <c r="A39" s="1">
        <v>31</v>
      </c>
      <c r="B39" s="36">
        <v>4.8</v>
      </c>
      <c r="C39">
        <v>3.1</v>
      </c>
      <c r="D39">
        <v>1.6</v>
      </c>
      <c r="E39">
        <v>0.2</v>
      </c>
      <c r="F39" t="s">
        <v>5</v>
      </c>
      <c r="G39" s="4">
        <v>0</v>
      </c>
      <c r="H39" s="3">
        <v>0</v>
      </c>
      <c r="K39" s="20" t="s">
        <v>3</v>
      </c>
      <c r="L39" s="11">
        <v>3.5731258024463157</v>
      </c>
      <c r="M39" s="11">
        <v>-9.4147655150063922</v>
      </c>
      <c r="N39" s="11">
        <v>-9.0855203285303858</v>
      </c>
      <c r="O39" s="11">
        <v>37.707375083637494</v>
      </c>
    </row>
    <row r="40" spans="1:15" ht="15.75" thickBot="1" x14ac:dyDescent="0.3">
      <c r="A40" s="1">
        <v>32</v>
      </c>
      <c r="B40" s="36">
        <v>5.4</v>
      </c>
      <c r="C40">
        <v>3.4</v>
      </c>
      <c r="D40">
        <v>1.5</v>
      </c>
      <c r="E40">
        <v>0.4</v>
      </c>
      <c r="F40" t="s">
        <v>5</v>
      </c>
      <c r="G40" s="4">
        <v>0</v>
      </c>
      <c r="H40" s="3">
        <v>0</v>
      </c>
    </row>
    <row r="41" spans="1:15" ht="15.75" thickBot="1" x14ac:dyDescent="0.3">
      <c r="A41" s="1">
        <v>33</v>
      </c>
      <c r="B41" s="36">
        <v>5.2</v>
      </c>
      <c r="C41">
        <v>4.0999999999999996</v>
      </c>
      <c r="D41">
        <v>1.5</v>
      </c>
      <c r="E41">
        <v>0.1</v>
      </c>
      <c r="F41" t="s">
        <v>5</v>
      </c>
      <c r="G41" s="4">
        <v>0</v>
      </c>
      <c r="H41" s="3">
        <v>0</v>
      </c>
      <c r="J41" s="30" t="s">
        <v>29</v>
      </c>
      <c r="M41" s="30" t="s">
        <v>18</v>
      </c>
    </row>
    <row r="42" spans="1:15" x14ac:dyDescent="0.25">
      <c r="A42" s="1">
        <v>34</v>
      </c>
      <c r="B42" s="36">
        <v>5.5</v>
      </c>
      <c r="C42">
        <v>4.2</v>
      </c>
      <c r="D42">
        <v>1.4</v>
      </c>
      <c r="E42">
        <v>0.2</v>
      </c>
      <c r="F42" t="s">
        <v>5</v>
      </c>
      <c r="G42" s="4">
        <v>0</v>
      </c>
      <c r="H42" s="3">
        <v>0</v>
      </c>
      <c r="J42" s="31" t="s">
        <v>17</v>
      </c>
      <c r="M42" s="31" t="s">
        <v>17</v>
      </c>
    </row>
    <row r="43" spans="1:15" x14ac:dyDescent="0.25">
      <c r="A43" s="1">
        <v>35</v>
      </c>
      <c r="B43" s="36">
        <v>4.9000000000000004</v>
      </c>
      <c r="C43">
        <v>3.1</v>
      </c>
      <c r="D43">
        <v>1.5</v>
      </c>
      <c r="E43">
        <v>0.1</v>
      </c>
      <c r="F43" t="s">
        <v>5</v>
      </c>
      <c r="G43" s="4">
        <v>0</v>
      </c>
      <c r="H43" s="3">
        <v>0</v>
      </c>
      <c r="J43" s="2" t="s">
        <v>8</v>
      </c>
      <c r="K43" s="32">
        <f t="array" ref="K43">MMULT(D4:G4,MMULT(L36:O39,K4:K7))-1/2*MMULT(MMULT(O3:R3,L36:O39),K4:K7)+LOG(1/3)</f>
        <v>8.8298983247082106</v>
      </c>
      <c r="L43" s="27"/>
      <c r="M43" s="2" t="s">
        <v>8</v>
      </c>
      <c r="N43" s="2">
        <f t="array" ref="N43">1/2*LOG(MDETERM(L12:O15))-1/2*MMULT(Q19:T19,MMULT(MINVERSE(L12:O15),Q13:Q16))</f>
        <v>-289.78424311701286</v>
      </c>
    </row>
    <row r="44" spans="1:15" x14ac:dyDescent="0.25">
      <c r="A44" s="1">
        <v>36</v>
      </c>
      <c r="B44" s="36">
        <v>5</v>
      </c>
      <c r="C44">
        <v>3.2</v>
      </c>
      <c r="D44">
        <v>1.2</v>
      </c>
      <c r="E44">
        <v>0.2</v>
      </c>
      <c r="F44" t="s">
        <v>5</v>
      </c>
      <c r="G44" s="4">
        <v>0</v>
      </c>
      <c r="H44" s="3">
        <v>0</v>
      </c>
      <c r="J44" s="2" t="s">
        <v>12</v>
      </c>
      <c r="K44" s="2">
        <f t="array" ref="K44">MMULT(D4:G4,MMULT(L36:O39,L4:L7))-1/2*MMULT(MMULT(_xlfn.ANCHORARRAY(O6),L36:O39),L4:L7)+LOG(1/3)</f>
        <v>81.287471966514673</v>
      </c>
      <c r="M44" s="2" t="s">
        <v>12</v>
      </c>
      <c r="N44" s="2">
        <f t="array" ref="N44">1/2*LOG(MDETERM(L18:O21))-1/2*MMULT(Q22:T22,MMULT(MINVERSE(L18:O21),R13:R16))</f>
        <v>-7.5383171655867276</v>
      </c>
    </row>
    <row r="45" spans="1:15" x14ac:dyDescent="0.25">
      <c r="A45" s="1">
        <v>37</v>
      </c>
      <c r="B45" s="36">
        <v>5.5</v>
      </c>
      <c r="C45">
        <v>3.5</v>
      </c>
      <c r="D45">
        <v>1.3</v>
      </c>
      <c r="E45">
        <v>0.2</v>
      </c>
      <c r="F45" t="s">
        <v>5</v>
      </c>
      <c r="G45" s="4">
        <v>0</v>
      </c>
      <c r="H45" s="3">
        <v>0</v>
      </c>
      <c r="J45" s="2" t="s">
        <v>25</v>
      </c>
      <c r="K45" s="2">
        <f t="array" ref="K45">MMULT(D4:G4,MMULT(L36:O39,M4:M7))-1/2*MMULT(MMULT(_xlfn.ANCHORARRAY(O9),L36:O39),M4:M7)+LOG(1/3)</f>
        <v>85.376110016757053</v>
      </c>
      <c r="M45" s="2" t="s">
        <v>25</v>
      </c>
      <c r="N45" s="2">
        <f t="array" ref="N45">1/2*LOG(MDETERM(L24:O27))-1/2*MMULT(Q25:T25,MMULT(MINVERSE(L24:O27),S13:S16))</f>
        <v>-3.3290345788691464</v>
      </c>
    </row>
    <row r="46" spans="1:15" x14ac:dyDescent="0.25">
      <c r="A46" s="1">
        <v>38</v>
      </c>
      <c r="B46" s="36">
        <v>4.9000000000000004</v>
      </c>
      <c r="C46">
        <v>3.1</v>
      </c>
      <c r="D46">
        <v>1.5</v>
      </c>
      <c r="E46">
        <v>0.1</v>
      </c>
      <c r="F46" t="s">
        <v>5</v>
      </c>
      <c r="G46" s="4">
        <v>0</v>
      </c>
      <c r="H46" s="3">
        <v>0</v>
      </c>
      <c r="J46" s="2" t="s">
        <v>19</v>
      </c>
      <c r="K46" s="29">
        <f>IF(AND(K43&gt;K44,K43&gt;K45),0,IF(AND(K44&gt;K43,K44&gt;K45),1,2))</f>
        <v>2</v>
      </c>
      <c r="M46" s="2" t="s">
        <v>19</v>
      </c>
      <c r="N46" s="29">
        <f>IF(AND(N43&gt;N44,N43&gt;N45),0,IF(AND(N44&gt;N43,N44&gt;N45),1,2))</f>
        <v>2</v>
      </c>
    </row>
    <row r="47" spans="1:15" x14ac:dyDescent="0.25">
      <c r="A47" s="1">
        <v>39</v>
      </c>
      <c r="B47" s="36">
        <v>4.4000000000000004</v>
      </c>
      <c r="C47">
        <v>3</v>
      </c>
      <c r="D47">
        <v>1.3</v>
      </c>
      <c r="E47">
        <v>0.2</v>
      </c>
      <c r="F47" t="s">
        <v>5</v>
      </c>
      <c r="G47" s="4">
        <v>0</v>
      </c>
      <c r="H47" s="3">
        <v>0</v>
      </c>
    </row>
    <row r="48" spans="1:15" x14ac:dyDescent="0.25">
      <c r="A48" s="1">
        <v>40</v>
      </c>
      <c r="B48" s="36">
        <v>5.0999999999999996</v>
      </c>
      <c r="C48">
        <v>3.4</v>
      </c>
      <c r="D48">
        <v>1.5</v>
      </c>
      <c r="E48">
        <v>0.2</v>
      </c>
      <c r="F48" t="s">
        <v>5</v>
      </c>
      <c r="G48" s="4">
        <v>0</v>
      </c>
      <c r="H48" s="3">
        <v>0</v>
      </c>
    </row>
    <row r="49" spans="1:14" x14ac:dyDescent="0.25">
      <c r="A49" s="1">
        <v>41</v>
      </c>
      <c r="B49" s="36">
        <v>5</v>
      </c>
      <c r="C49">
        <v>3.5</v>
      </c>
      <c r="D49">
        <v>1.3</v>
      </c>
      <c r="E49">
        <v>0.3</v>
      </c>
      <c r="F49" t="s">
        <v>5</v>
      </c>
      <c r="G49" s="4">
        <v>0</v>
      </c>
      <c r="H49" s="3">
        <v>0</v>
      </c>
    </row>
    <row r="50" spans="1:14" x14ac:dyDescent="0.25">
      <c r="A50" s="1">
        <v>42</v>
      </c>
      <c r="B50" s="36">
        <v>4.5</v>
      </c>
      <c r="C50">
        <v>2.2999999999999998</v>
      </c>
      <c r="D50">
        <v>1.3</v>
      </c>
      <c r="E50">
        <v>0.3</v>
      </c>
      <c r="F50" t="s">
        <v>5</v>
      </c>
      <c r="G50">
        <v>0</v>
      </c>
      <c r="H50" s="3">
        <v>0</v>
      </c>
    </row>
    <row r="51" spans="1:14" x14ac:dyDescent="0.25">
      <c r="A51" s="1">
        <v>43</v>
      </c>
      <c r="B51" s="36">
        <v>4.4000000000000004</v>
      </c>
      <c r="C51">
        <v>3.2</v>
      </c>
      <c r="D51">
        <v>1.3</v>
      </c>
      <c r="E51">
        <v>0.2</v>
      </c>
      <c r="F51" t="s">
        <v>5</v>
      </c>
      <c r="G51">
        <v>0</v>
      </c>
      <c r="H51" s="3">
        <v>0</v>
      </c>
    </row>
    <row r="52" spans="1:14" x14ac:dyDescent="0.25">
      <c r="A52" s="1">
        <v>44</v>
      </c>
      <c r="B52" s="36">
        <v>5</v>
      </c>
      <c r="C52">
        <v>3.5</v>
      </c>
      <c r="D52">
        <v>1.6</v>
      </c>
      <c r="E52">
        <v>0.6</v>
      </c>
      <c r="F52" t="s">
        <v>5</v>
      </c>
      <c r="G52" s="4">
        <v>0</v>
      </c>
      <c r="H52" s="3">
        <v>0</v>
      </c>
    </row>
    <row r="53" spans="1:14" x14ac:dyDescent="0.25">
      <c r="A53" s="1">
        <v>45</v>
      </c>
      <c r="B53" s="36">
        <v>5.0999999999999996</v>
      </c>
      <c r="C53">
        <v>3.8</v>
      </c>
      <c r="D53">
        <v>1.9</v>
      </c>
      <c r="E53">
        <v>0.4</v>
      </c>
      <c r="F53" t="s">
        <v>5</v>
      </c>
      <c r="G53" s="4">
        <v>0</v>
      </c>
      <c r="H53" s="3">
        <v>0</v>
      </c>
    </row>
    <row r="54" spans="1:14" x14ac:dyDescent="0.25">
      <c r="A54" s="1">
        <v>46</v>
      </c>
      <c r="B54" s="36">
        <v>4.8</v>
      </c>
      <c r="C54">
        <v>3</v>
      </c>
      <c r="D54">
        <v>1.4</v>
      </c>
      <c r="E54">
        <v>0.3</v>
      </c>
      <c r="F54" t="s">
        <v>5</v>
      </c>
      <c r="G54" s="4">
        <v>0</v>
      </c>
      <c r="H54" s="3">
        <v>0</v>
      </c>
    </row>
    <row r="55" spans="1:14" x14ac:dyDescent="0.25">
      <c r="A55" s="1">
        <v>47</v>
      </c>
      <c r="B55" s="36">
        <v>5.0999999999999996</v>
      </c>
      <c r="C55">
        <v>3.8</v>
      </c>
      <c r="D55">
        <v>1.6</v>
      </c>
      <c r="E55">
        <v>0.2</v>
      </c>
      <c r="F55" t="s">
        <v>5</v>
      </c>
      <c r="G55" s="4">
        <v>0</v>
      </c>
      <c r="H55" s="3">
        <v>0</v>
      </c>
    </row>
    <row r="56" spans="1:14" x14ac:dyDescent="0.25">
      <c r="A56" s="1">
        <v>48</v>
      </c>
      <c r="B56" s="36">
        <v>4.5999999999999996</v>
      </c>
      <c r="C56">
        <v>3.2</v>
      </c>
      <c r="D56">
        <v>1.4</v>
      </c>
      <c r="E56">
        <v>0.2</v>
      </c>
      <c r="F56" t="s">
        <v>5</v>
      </c>
      <c r="G56" s="4">
        <v>0</v>
      </c>
      <c r="H56" s="3">
        <v>0</v>
      </c>
    </row>
    <row r="57" spans="1:14" x14ac:dyDescent="0.25">
      <c r="A57" s="1">
        <v>49</v>
      </c>
      <c r="B57" s="36">
        <v>5.3</v>
      </c>
      <c r="C57">
        <v>3.7</v>
      </c>
      <c r="D57">
        <v>1.5</v>
      </c>
      <c r="E57">
        <v>0.2</v>
      </c>
      <c r="F57" t="s">
        <v>5</v>
      </c>
      <c r="G57" s="4">
        <v>0</v>
      </c>
      <c r="H57" s="3">
        <v>0</v>
      </c>
    </row>
    <row r="58" spans="1:14" x14ac:dyDescent="0.25">
      <c r="A58" s="1">
        <v>50</v>
      </c>
      <c r="B58" s="36">
        <v>5</v>
      </c>
      <c r="C58">
        <v>3.3</v>
      </c>
      <c r="D58">
        <v>1.4</v>
      </c>
      <c r="E58">
        <v>0.2</v>
      </c>
      <c r="F58" t="s">
        <v>5</v>
      </c>
      <c r="G58" s="4">
        <v>0</v>
      </c>
      <c r="H58" s="3">
        <v>0</v>
      </c>
      <c r="L58" s="4"/>
      <c r="M58" s="4"/>
      <c r="N58" s="4"/>
    </row>
    <row r="59" spans="1:14" x14ac:dyDescent="0.25">
      <c r="A59" s="1">
        <v>51</v>
      </c>
      <c r="B59" s="41">
        <v>7</v>
      </c>
      <c r="C59" s="25">
        <v>3.2</v>
      </c>
      <c r="D59" s="25">
        <v>4.7</v>
      </c>
      <c r="E59" s="25">
        <v>1.4</v>
      </c>
      <c r="F59" s="25" t="s">
        <v>6</v>
      </c>
      <c r="G59" s="25">
        <v>1</v>
      </c>
      <c r="H59" s="26">
        <v>1</v>
      </c>
    </row>
    <row r="60" spans="1:14" x14ac:dyDescent="0.25">
      <c r="A60" s="1">
        <v>52</v>
      </c>
      <c r="B60" s="36">
        <v>6.4</v>
      </c>
      <c r="C60">
        <v>3.2</v>
      </c>
      <c r="D60">
        <v>4.5</v>
      </c>
      <c r="E60">
        <v>1.5</v>
      </c>
      <c r="F60" t="s">
        <v>6</v>
      </c>
      <c r="G60" s="4">
        <v>1</v>
      </c>
      <c r="H60" s="3">
        <v>1</v>
      </c>
    </row>
    <row r="61" spans="1:14" x14ac:dyDescent="0.25">
      <c r="A61" s="1">
        <v>53</v>
      </c>
      <c r="B61" s="36">
        <v>6.9</v>
      </c>
      <c r="C61">
        <v>3.1</v>
      </c>
      <c r="D61">
        <v>4.9000000000000004</v>
      </c>
      <c r="E61">
        <v>1.5</v>
      </c>
      <c r="F61" t="s">
        <v>6</v>
      </c>
      <c r="G61" s="4">
        <v>1</v>
      </c>
      <c r="H61" s="3">
        <v>1</v>
      </c>
    </row>
    <row r="62" spans="1:14" x14ac:dyDescent="0.25">
      <c r="A62" s="1">
        <v>54</v>
      </c>
      <c r="B62" s="36">
        <v>5.5</v>
      </c>
      <c r="C62">
        <v>2.2999999999999998</v>
      </c>
      <c r="D62">
        <v>4</v>
      </c>
      <c r="E62">
        <v>1.3</v>
      </c>
      <c r="F62" t="s">
        <v>6</v>
      </c>
      <c r="G62" s="4">
        <v>1</v>
      </c>
      <c r="H62" s="3">
        <v>1</v>
      </c>
    </row>
    <row r="63" spans="1:14" x14ac:dyDescent="0.25">
      <c r="A63" s="1">
        <v>55</v>
      </c>
      <c r="B63" s="36">
        <v>6.5</v>
      </c>
      <c r="C63">
        <v>2.8</v>
      </c>
      <c r="D63">
        <v>4.5999999999999996</v>
      </c>
      <c r="E63">
        <v>1.5</v>
      </c>
      <c r="F63" t="s">
        <v>6</v>
      </c>
      <c r="G63" s="4">
        <v>1</v>
      </c>
      <c r="H63" s="3">
        <v>1</v>
      </c>
    </row>
    <row r="64" spans="1:14" x14ac:dyDescent="0.25">
      <c r="A64" s="1">
        <v>56</v>
      </c>
      <c r="B64" s="36">
        <v>5.7</v>
      </c>
      <c r="C64">
        <v>2.8</v>
      </c>
      <c r="D64">
        <v>4.5</v>
      </c>
      <c r="E64">
        <v>1.3</v>
      </c>
      <c r="F64" t="s">
        <v>6</v>
      </c>
      <c r="G64" s="4">
        <v>1</v>
      </c>
      <c r="H64" s="3">
        <v>1</v>
      </c>
    </row>
    <row r="65" spans="1:14" x14ac:dyDescent="0.25">
      <c r="A65" s="1">
        <v>57</v>
      </c>
      <c r="B65" s="36">
        <v>6.3</v>
      </c>
      <c r="C65">
        <v>3.3</v>
      </c>
      <c r="D65">
        <v>4.7</v>
      </c>
      <c r="E65">
        <v>1.6</v>
      </c>
      <c r="F65" t="s">
        <v>6</v>
      </c>
      <c r="G65" s="4">
        <v>1</v>
      </c>
      <c r="H65" s="3">
        <v>1</v>
      </c>
    </row>
    <row r="66" spans="1:14" x14ac:dyDescent="0.25">
      <c r="A66" s="1">
        <v>58</v>
      </c>
      <c r="B66" s="36">
        <v>4.9000000000000004</v>
      </c>
      <c r="C66">
        <v>2.4</v>
      </c>
      <c r="D66">
        <v>3.3</v>
      </c>
      <c r="E66">
        <v>1</v>
      </c>
      <c r="F66" t="s">
        <v>6</v>
      </c>
      <c r="G66" s="4">
        <v>1</v>
      </c>
      <c r="H66" s="3">
        <v>1</v>
      </c>
    </row>
    <row r="67" spans="1:14" x14ac:dyDescent="0.25">
      <c r="A67" s="1">
        <v>59</v>
      </c>
      <c r="B67" s="36">
        <v>6.6</v>
      </c>
      <c r="C67">
        <v>2.9</v>
      </c>
      <c r="D67">
        <v>4.5999999999999996</v>
      </c>
      <c r="E67">
        <v>1.3</v>
      </c>
      <c r="F67" t="s">
        <v>6</v>
      </c>
      <c r="G67" s="4">
        <v>1</v>
      </c>
      <c r="H67" s="3">
        <v>1</v>
      </c>
    </row>
    <row r="68" spans="1:14" x14ac:dyDescent="0.25">
      <c r="A68" s="1">
        <v>60</v>
      </c>
      <c r="B68" s="36">
        <v>5.2</v>
      </c>
      <c r="C68">
        <v>2.7</v>
      </c>
      <c r="D68">
        <v>3.9</v>
      </c>
      <c r="E68">
        <v>1.4</v>
      </c>
      <c r="F68" t="s">
        <v>6</v>
      </c>
      <c r="G68" s="4">
        <v>1</v>
      </c>
      <c r="H68" s="3">
        <v>1</v>
      </c>
    </row>
    <row r="69" spans="1:14" x14ac:dyDescent="0.25">
      <c r="A69" s="1">
        <v>61</v>
      </c>
      <c r="B69" s="36">
        <v>5</v>
      </c>
      <c r="C69">
        <v>2</v>
      </c>
      <c r="D69">
        <v>3.5</v>
      </c>
      <c r="E69">
        <v>1</v>
      </c>
      <c r="F69" t="s">
        <v>6</v>
      </c>
      <c r="G69" s="4">
        <v>1</v>
      </c>
      <c r="H69" s="3">
        <v>1</v>
      </c>
    </row>
    <row r="70" spans="1:14" x14ac:dyDescent="0.25">
      <c r="A70" s="1">
        <v>62</v>
      </c>
      <c r="B70" s="36">
        <v>5.9</v>
      </c>
      <c r="C70">
        <v>3</v>
      </c>
      <c r="D70">
        <v>4.2</v>
      </c>
      <c r="E70">
        <v>1.5</v>
      </c>
      <c r="F70" t="s">
        <v>6</v>
      </c>
      <c r="G70" s="4">
        <v>1</v>
      </c>
      <c r="H70" s="3">
        <v>1</v>
      </c>
    </row>
    <row r="71" spans="1:14" x14ac:dyDescent="0.25">
      <c r="A71" s="1">
        <v>63</v>
      </c>
      <c r="B71" s="36">
        <v>6</v>
      </c>
      <c r="C71">
        <v>2.2000000000000002</v>
      </c>
      <c r="D71">
        <v>4</v>
      </c>
      <c r="E71">
        <v>1</v>
      </c>
      <c r="F71" t="s">
        <v>6</v>
      </c>
      <c r="G71" s="4">
        <v>1</v>
      </c>
      <c r="H71" s="3">
        <v>1</v>
      </c>
    </row>
    <row r="72" spans="1:14" x14ac:dyDescent="0.25">
      <c r="A72" s="1">
        <v>64</v>
      </c>
      <c r="B72" s="36">
        <v>6.1</v>
      </c>
      <c r="C72">
        <v>2.9</v>
      </c>
      <c r="D72">
        <v>4.7</v>
      </c>
      <c r="E72">
        <v>1.4</v>
      </c>
      <c r="F72" t="s">
        <v>6</v>
      </c>
      <c r="G72" s="4">
        <v>1</v>
      </c>
      <c r="H72" s="3">
        <v>1</v>
      </c>
      <c r="L72" s="4"/>
      <c r="M72" s="4"/>
      <c r="N72" s="4"/>
    </row>
    <row r="73" spans="1:14" x14ac:dyDescent="0.25">
      <c r="A73" s="1">
        <v>65</v>
      </c>
      <c r="B73" s="36">
        <v>5.6</v>
      </c>
      <c r="C73">
        <v>2.9</v>
      </c>
      <c r="D73">
        <v>3.6</v>
      </c>
      <c r="E73">
        <v>1.3</v>
      </c>
      <c r="F73" t="s">
        <v>6</v>
      </c>
      <c r="G73" s="4">
        <v>1</v>
      </c>
      <c r="H73" s="3">
        <v>1</v>
      </c>
    </row>
    <row r="74" spans="1:14" x14ac:dyDescent="0.25">
      <c r="A74" s="1">
        <v>66</v>
      </c>
      <c r="B74" s="36">
        <v>6.7</v>
      </c>
      <c r="C74">
        <v>3.1</v>
      </c>
      <c r="D74">
        <v>4.4000000000000004</v>
      </c>
      <c r="E74">
        <v>1.4</v>
      </c>
      <c r="F74" t="s">
        <v>6</v>
      </c>
      <c r="G74" s="4">
        <v>1</v>
      </c>
      <c r="H74" s="3">
        <v>1</v>
      </c>
    </row>
    <row r="75" spans="1:14" x14ac:dyDescent="0.25">
      <c r="A75" s="1">
        <v>67</v>
      </c>
      <c r="B75" s="36">
        <v>5.6</v>
      </c>
      <c r="C75">
        <v>3</v>
      </c>
      <c r="D75">
        <v>4.5</v>
      </c>
      <c r="E75">
        <v>1.5</v>
      </c>
      <c r="F75" t="s">
        <v>6</v>
      </c>
      <c r="G75" s="4">
        <v>1</v>
      </c>
      <c r="H75" s="3">
        <v>1</v>
      </c>
    </row>
    <row r="76" spans="1:14" x14ac:dyDescent="0.25">
      <c r="A76" s="1">
        <v>68</v>
      </c>
      <c r="B76" s="36">
        <v>5.8</v>
      </c>
      <c r="C76">
        <v>2.7</v>
      </c>
      <c r="D76">
        <v>4.0999999999999996</v>
      </c>
      <c r="E76">
        <v>1</v>
      </c>
      <c r="F76" t="s">
        <v>6</v>
      </c>
      <c r="G76" s="4">
        <v>1</v>
      </c>
      <c r="H76" s="3">
        <v>1</v>
      </c>
    </row>
    <row r="77" spans="1:14" x14ac:dyDescent="0.25">
      <c r="A77" s="1">
        <v>69</v>
      </c>
      <c r="B77" s="36">
        <v>6.2</v>
      </c>
      <c r="C77">
        <v>2.2000000000000002</v>
      </c>
      <c r="D77">
        <v>4.5</v>
      </c>
      <c r="E77">
        <v>1.5</v>
      </c>
      <c r="F77" t="s">
        <v>6</v>
      </c>
      <c r="G77" s="4">
        <v>1</v>
      </c>
      <c r="H77" s="3">
        <v>1</v>
      </c>
    </row>
    <row r="78" spans="1:14" x14ac:dyDescent="0.25">
      <c r="A78" s="1">
        <v>70</v>
      </c>
      <c r="B78" s="36">
        <v>5.6</v>
      </c>
      <c r="C78">
        <v>2.5</v>
      </c>
      <c r="D78">
        <v>3.9</v>
      </c>
      <c r="E78">
        <v>1.1000000000000001</v>
      </c>
      <c r="F78" t="s">
        <v>6</v>
      </c>
      <c r="G78" s="4">
        <v>1</v>
      </c>
      <c r="H78" s="3">
        <v>1</v>
      </c>
    </row>
    <row r="79" spans="1:14" x14ac:dyDescent="0.25">
      <c r="A79" s="1">
        <v>71</v>
      </c>
      <c r="B79" s="36">
        <v>5.9</v>
      </c>
      <c r="C79">
        <v>3.2</v>
      </c>
      <c r="D79">
        <v>4.8</v>
      </c>
      <c r="E79">
        <v>1.8</v>
      </c>
      <c r="F79" t="s">
        <v>6</v>
      </c>
      <c r="G79" s="4">
        <v>2</v>
      </c>
      <c r="H79" s="3">
        <v>2</v>
      </c>
    </row>
    <row r="80" spans="1:14" x14ac:dyDescent="0.25">
      <c r="A80" s="1">
        <v>72</v>
      </c>
      <c r="B80" s="36">
        <v>6.1</v>
      </c>
      <c r="C80">
        <v>2.8</v>
      </c>
      <c r="D80">
        <v>4</v>
      </c>
      <c r="E80">
        <v>1.3</v>
      </c>
      <c r="F80" t="s">
        <v>6</v>
      </c>
      <c r="G80" s="4">
        <v>1</v>
      </c>
      <c r="H80" s="3">
        <v>1</v>
      </c>
    </row>
    <row r="81" spans="1:8" x14ac:dyDescent="0.25">
      <c r="A81" s="1">
        <v>73</v>
      </c>
      <c r="B81" s="36">
        <v>6.3</v>
      </c>
      <c r="C81">
        <v>2.5</v>
      </c>
      <c r="D81">
        <v>4.9000000000000004</v>
      </c>
      <c r="E81">
        <v>1.5</v>
      </c>
      <c r="F81" t="s">
        <v>6</v>
      </c>
      <c r="G81" s="4">
        <v>1</v>
      </c>
      <c r="H81" s="3">
        <v>2</v>
      </c>
    </row>
    <row r="82" spans="1:8" x14ac:dyDescent="0.25">
      <c r="A82" s="1">
        <v>74</v>
      </c>
      <c r="B82" s="36">
        <v>6.1</v>
      </c>
      <c r="C82">
        <v>2.8</v>
      </c>
      <c r="D82">
        <v>4.7</v>
      </c>
      <c r="E82">
        <v>1.2</v>
      </c>
      <c r="F82" t="s">
        <v>6</v>
      </c>
      <c r="G82" s="4">
        <v>1</v>
      </c>
      <c r="H82" s="3">
        <v>1</v>
      </c>
    </row>
    <row r="83" spans="1:8" x14ac:dyDescent="0.25">
      <c r="A83" s="1">
        <v>75</v>
      </c>
      <c r="B83" s="36">
        <v>6.4</v>
      </c>
      <c r="C83">
        <v>2.9</v>
      </c>
      <c r="D83">
        <v>4.3</v>
      </c>
      <c r="E83">
        <v>1.3</v>
      </c>
      <c r="F83" t="s">
        <v>6</v>
      </c>
      <c r="G83" s="4">
        <v>1</v>
      </c>
      <c r="H83" s="3">
        <v>1</v>
      </c>
    </row>
    <row r="84" spans="1:8" x14ac:dyDescent="0.25">
      <c r="A84" s="1">
        <v>76</v>
      </c>
      <c r="B84" s="36">
        <v>6.6</v>
      </c>
      <c r="C84">
        <v>3</v>
      </c>
      <c r="D84">
        <v>4.4000000000000004</v>
      </c>
      <c r="E84">
        <v>1.4</v>
      </c>
      <c r="F84" t="s">
        <v>6</v>
      </c>
      <c r="G84" s="4">
        <v>1</v>
      </c>
      <c r="H84" s="3">
        <v>1</v>
      </c>
    </row>
    <row r="85" spans="1:8" x14ac:dyDescent="0.25">
      <c r="A85" s="1">
        <v>77</v>
      </c>
      <c r="B85" s="36">
        <v>6.8</v>
      </c>
      <c r="C85">
        <v>2.8</v>
      </c>
      <c r="D85">
        <v>4.8</v>
      </c>
      <c r="E85">
        <v>1.4</v>
      </c>
      <c r="F85" t="s">
        <v>6</v>
      </c>
      <c r="G85" s="4">
        <v>1</v>
      </c>
      <c r="H85" s="3">
        <v>1</v>
      </c>
    </row>
    <row r="86" spans="1:8" x14ac:dyDescent="0.25">
      <c r="A86" s="1">
        <v>78</v>
      </c>
      <c r="B86" s="36">
        <v>6.7</v>
      </c>
      <c r="C86">
        <v>3</v>
      </c>
      <c r="D86">
        <v>5</v>
      </c>
      <c r="E86">
        <v>1.7</v>
      </c>
      <c r="F86" t="s">
        <v>6</v>
      </c>
      <c r="G86" s="4">
        <v>1</v>
      </c>
      <c r="H86" s="3">
        <v>1</v>
      </c>
    </row>
    <row r="87" spans="1:8" x14ac:dyDescent="0.25">
      <c r="A87" s="1">
        <v>79</v>
      </c>
      <c r="B87" s="36">
        <v>6</v>
      </c>
      <c r="C87">
        <v>2.9</v>
      </c>
      <c r="D87">
        <v>4.5</v>
      </c>
      <c r="E87">
        <v>1.5</v>
      </c>
      <c r="F87" t="s">
        <v>6</v>
      </c>
      <c r="G87" s="4">
        <v>1</v>
      </c>
      <c r="H87" s="3">
        <v>1</v>
      </c>
    </row>
    <row r="88" spans="1:8" x14ac:dyDescent="0.25">
      <c r="A88" s="1">
        <v>80</v>
      </c>
      <c r="B88" s="36">
        <v>5.7</v>
      </c>
      <c r="C88">
        <v>2.6</v>
      </c>
      <c r="D88">
        <v>3.5</v>
      </c>
      <c r="E88">
        <v>1</v>
      </c>
      <c r="F88" t="s">
        <v>6</v>
      </c>
      <c r="G88" s="4">
        <v>1</v>
      </c>
      <c r="H88" s="3">
        <v>1</v>
      </c>
    </row>
    <row r="89" spans="1:8" x14ac:dyDescent="0.25">
      <c r="A89" s="1">
        <v>81</v>
      </c>
      <c r="B89" s="36">
        <v>5.5</v>
      </c>
      <c r="C89">
        <v>2.4</v>
      </c>
      <c r="D89">
        <v>3.8</v>
      </c>
      <c r="E89">
        <v>1.1000000000000001</v>
      </c>
      <c r="F89" t="s">
        <v>6</v>
      </c>
      <c r="G89" s="4">
        <v>1</v>
      </c>
      <c r="H89" s="3">
        <v>1</v>
      </c>
    </row>
    <row r="90" spans="1:8" x14ac:dyDescent="0.25">
      <c r="A90" s="1">
        <v>82</v>
      </c>
      <c r="B90" s="36">
        <v>5.5</v>
      </c>
      <c r="C90">
        <v>2.4</v>
      </c>
      <c r="D90">
        <v>3.7</v>
      </c>
      <c r="E90">
        <v>1</v>
      </c>
      <c r="F90" t="s">
        <v>6</v>
      </c>
      <c r="G90" s="4">
        <v>1</v>
      </c>
      <c r="H90" s="3">
        <v>1</v>
      </c>
    </row>
    <row r="91" spans="1:8" x14ac:dyDescent="0.25">
      <c r="A91" s="1">
        <v>83</v>
      </c>
      <c r="B91" s="36">
        <v>5.8</v>
      </c>
      <c r="C91">
        <v>2.7</v>
      </c>
      <c r="D91">
        <v>3.9</v>
      </c>
      <c r="E91">
        <v>1.2</v>
      </c>
      <c r="F91" t="s">
        <v>6</v>
      </c>
      <c r="G91" s="4">
        <v>1</v>
      </c>
      <c r="H91" s="3">
        <v>1</v>
      </c>
    </row>
    <row r="92" spans="1:8" x14ac:dyDescent="0.25">
      <c r="A92" s="1">
        <v>84</v>
      </c>
      <c r="B92" s="36">
        <v>6</v>
      </c>
      <c r="C92">
        <v>2.7</v>
      </c>
      <c r="D92">
        <v>5.0999999999999996</v>
      </c>
      <c r="E92">
        <v>1.6</v>
      </c>
      <c r="F92" t="s">
        <v>6</v>
      </c>
      <c r="G92" s="4">
        <v>2</v>
      </c>
      <c r="H92" s="3">
        <v>2</v>
      </c>
    </row>
    <row r="93" spans="1:8" x14ac:dyDescent="0.25">
      <c r="A93" s="1">
        <v>85</v>
      </c>
      <c r="B93" s="36">
        <v>5.4</v>
      </c>
      <c r="C93">
        <v>3</v>
      </c>
      <c r="D93">
        <v>4.5</v>
      </c>
      <c r="E93">
        <v>1.5</v>
      </c>
      <c r="F93" t="s">
        <v>6</v>
      </c>
      <c r="G93" s="4">
        <v>1</v>
      </c>
      <c r="H93" s="3">
        <v>1</v>
      </c>
    </row>
    <row r="94" spans="1:8" x14ac:dyDescent="0.25">
      <c r="A94" s="1">
        <v>86</v>
      </c>
      <c r="B94" s="36">
        <v>6</v>
      </c>
      <c r="C94">
        <v>3.4</v>
      </c>
      <c r="D94">
        <v>4.5</v>
      </c>
      <c r="E94">
        <v>1.6</v>
      </c>
      <c r="F94" t="s">
        <v>6</v>
      </c>
      <c r="G94" s="4">
        <v>1</v>
      </c>
      <c r="H94" s="3">
        <v>1</v>
      </c>
    </row>
    <row r="95" spans="1:8" x14ac:dyDescent="0.25">
      <c r="A95" s="1">
        <v>87</v>
      </c>
      <c r="B95" s="36">
        <v>6.7</v>
      </c>
      <c r="C95">
        <v>3.1</v>
      </c>
      <c r="D95">
        <v>4.7</v>
      </c>
      <c r="E95">
        <v>1.5</v>
      </c>
      <c r="F95" t="s">
        <v>6</v>
      </c>
      <c r="G95" s="4">
        <v>1</v>
      </c>
      <c r="H95" s="3">
        <v>1</v>
      </c>
    </row>
    <row r="96" spans="1:8" x14ac:dyDescent="0.25">
      <c r="A96" s="1">
        <v>88</v>
      </c>
      <c r="B96" s="36">
        <v>6.3</v>
      </c>
      <c r="C96">
        <v>2.2999999999999998</v>
      </c>
      <c r="D96">
        <v>4.4000000000000004</v>
      </c>
      <c r="E96">
        <v>1.3</v>
      </c>
      <c r="F96" t="s">
        <v>6</v>
      </c>
      <c r="G96" s="4">
        <v>1</v>
      </c>
      <c r="H96" s="3">
        <v>1</v>
      </c>
    </row>
    <row r="97" spans="1:8" x14ac:dyDescent="0.25">
      <c r="A97" s="1">
        <v>89</v>
      </c>
      <c r="B97" s="36">
        <v>5.6</v>
      </c>
      <c r="C97">
        <v>3</v>
      </c>
      <c r="D97">
        <v>4.0999999999999996</v>
      </c>
      <c r="E97">
        <v>1.3</v>
      </c>
      <c r="F97" t="s">
        <v>6</v>
      </c>
      <c r="G97" s="4">
        <v>1</v>
      </c>
      <c r="H97" s="3">
        <v>1</v>
      </c>
    </row>
    <row r="98" spans="1:8" x14ac:dyDescent="0.25">
      <c r="A98" s="1">
        <v>90</v>
      </c>
      <c r="B98" s="36">
        <v>5.5</v>
      </c>
      <c r="C98">
        <v>2.5</v>
      </c>
      <c r="D98">
        <v>4</v>
      </c>
      <c r="E98">
        <v>1.3</v>
      </c>
      <c r="F98" t="s">
        <v>6</v>
      </c>
      <c r="G98" s="4">
        <v>1</v>
      </c>
      <c r="H98" s="3">
        <v>1</v>
      </c>
    </row>
    <row r="99" spans="1:8" x14ac:dyDescent="0.25">
      <c r="A99" s="1">
        <v>91</v>
      </c>
      <c r="B99" s="36">
        <v>5.5</v>
      </c>
      <c r="C99">
        <v>2.6</v>
      </c>
      <c r="D99">
        <v>4.4000000000000004</v>
      </c>
      <c r="E99">
        <v>1.2</v>
      </c>
      <c r="F99" t="s">
        <v>6</v>
      </c>
      <c r="G99" s="4">
        <v>1</v>
      </c>
      <c r="H99" s="3">
        <v>1</v>
      </c>
    </row>
    <row r="100" spans="1:8" x14ac:dyDescent="0.25">
      <c r="A100" s="1">
        <v>92</v>
      </c>
      <c r="B100" s="36">
        <v>6.1</v>
      </c>
      <c r="C100">
        <v>3</v>
      </c>
      <c r="D100">
        <v>4.5999999999999996</v>
      </c>
      <c r="E100">
        <v>1.4</v>
      </c>
      <c r="F100" t="s">
        <v>6</v>
      </c>
      <c r="G100" s="4">
        <v>1</v>
      </c>
      <c r="H100" s="3">
        <v>1</v>
      </c>
    </row>
    <row r="101" spans="1:8" x14ac:dyDescent="0.25">
      <c r="A101" s="1">
        <v>93</v>
      </c>
      <c r="B101" s="36">
        <v>5.8</v>
      </c>
      <c r="C101">
        <v>2.6</v>
      </c>
      <c r="D101">
        <v>4</v>
      </c>
      <c r="E101">
        <v>1.2</v>
      </c>
      <c r="F101" t="s">
        <v>6</v>
      </c>
      <c r="G101" s="4">
        <v>1</v>
      </c>
      <c r="H101" s="3">
        <v>1</v>
      </c>
    </row>
    <row r="102" spans="1:8" x14ac:dyDescent="0.25">
      <c r="A102" s="1">
        <v>94</v>
      </c>
      <c r="B102" s="36">
        <v>5</v>
      </c>
      <c r="C102">
        <v>2.2999999999999998</v>
      </c>
      <c r="D102">
        <v>3.3</v>
      </c>
      <c r="E102">
        <v>1</v>
      </c>
      <c r="F102" t="s">
        <v>6</v>
      </c>
      <c r="G102" s="4">
        <v>1</v>
      </c>
      <c r="H102" s="3">
        <v>1</v>
      </c>
    </row>
    <row r="103" spans="1:8" x14ac:dyDescent="0.25">
      <c r="A103" s="1">
        <v>95</v>
      </c>
      <c r="B103" s="36">
        <v>5.6</v>
      </c>
      <c r="C103">
        <v>2.7</v>
      </c>
      <c r="D103">
        <v>4.2</v>
      </c>
      <c r="E103">
        <v>1.3</v>
      </c>
      <c r="F103" t="s">
        <v>6</v>
      </c>
      <c r="G103" s="4">
        <v>1</v>
      </c>
      <c r="H103" s="3">
        <v>1</v>
      </c>
    </row>
    <row r="104" spans="1:8" x14ac:dyDescent="0.25">
      <c r="A104" s="1">
        <v>96</v>
      </c>
      <c r="B104" s="36">
        <v>5.7</v>
      </c>
      <c r="C104">
        <v>3</v>
      </c>
      <c r="D104">
        <v>4.2</v>
      </c>
      <c r="E104">
        <v>1.2</v>
      </c>
      <c r="F104" t="s">
        <v>6</v>
      </c>
      <c r="G104" s="4">
        <v>1</v>
      </c>
      <c r="H104" s="3">
        <v>1</v>
      </c>
    </row>
    <row r="105" spans="1:8" x14ac:dyDescent="0.25">
      <c r="A105" s="1">
        <v>97</v>
      </c>
      <c r="B105" s="36">
        <v>5.7</v>
      </c>
      <c r="C105">
        <v>2.9</v>
      </c>
      <c r="D105">
        <v>4.2</v>
      </c>
      <c r="E105">
        <v>1.3</v>
      </c>
      <c r="F105" t="s">
        <v>6</v>
      </c>
      <c r="G105" s="4">
        <v>1</v>
      </c>
      <c r="H105" s="3">
        <v>1</v>
      </c>
    </row>
    <row r="106" spans="1:8" x14ac:dyDescent="0.25">
      <c r="A106" s="1">
        <v>98</v>
      </c>
      <c r="B106" s="36">
        <v>6.2</v>
      </c>
      <c r="C106">
        <v>2.9</v>
      </c>
      <c r="D106">
        <v>4.3</v>
      </c>
      <c r="E106">
        <v>1.3</v>
      </c>
      <c r="F106" t="s">
        <v>6</v>
      </c>
      <c r="G106" s="4">
        <v>1</v>
      </c>
      <c r="H106" s="3">
        <v>1</v>
      </c>
    </row>
    <row r="107" spans="1:8" x14ac:dyDescent="0.25">
      <c r="A107" s="1">
        <v>99</v>
      </c>
      <c r="B107" s="36">
        <v>5.0999999999999996</v>
      </c>
      <c r="C107">
        <v>2.5</v>
      </c>
      <c r="D107">
        <v>3</v>
      </c>
      <c r="E107">
        <v>1.1000000000000001</v>
      </c>
      <c r="F107" t="s">
        <v>6</v>
      </c>
      <c r="G107" s="4">
        <v>1</v>
      </c>
      <c r="H107" s="3">
        <v>1</v>
      </c>
    </row>
    <row r="108" spans="1:8" x14ac:dyDescent="0.25">
      <c r="A108" s="1">
        <v>100</v>
      </c>
      <c r="B108" s="36">
        <v>5.7</v>
      </c>
      <c r="C108">
        <v>2.8</v>
      </c>
      <c r="D108">
        <v>4.0999999999999996</v>
      </c>
      <c r="E108">
        <v>1.3</v>
      </c>
      <c r="F108" t="s">
        <v>6</v>
      </c>
      <c r="G108" s="4">
        <v>1</v>
      </c>
      <c r="H108" s="3">
        <v>1</v>
      </c>
    </row>
    <row r="109" spans="1:8" x14ac:dyDescent="0.25">
      <c r="A109" s="1">
        <v>101</v>
      </c>
      <c r="B109" s="41">
        <v>6.3</v>
      </c>
      <c r="C109" s="25">
        <v>3.3</v>
      </c>
      <c r="D109" s="25">
        <v>6</v>
      </c>
      <c r="E109" s="25">
        <v>2.5</v>
      </c>
      <c r="F109" s="25" t="s">
        <v>24</v>
      </c>
      <c r="G109" s="25">
        <v>2</v>
      </c>
      <c r="H109" s="26">
        <v>2</v>
      </c>
    </row>
    <row r="110" spans="1:8" x14ac:dyDescent="0.25">
      <c r="A110" s="1">
        <v>102</v>
      </c>
      <c r="B110" s="36">
        <v>5.8</v>
      </c>
      <c r="C110">
        <v>2.7</v>
      </c>
      <c r="D110">
        <v>5.0999999999999996</v>
      </c>
      <c r="E110">
        <v>1.9</v>
      </c>
      <c r="F110" t="s">
        <v>24</v>
      </c>
      <c r="G110" s="4">
        <v>2</v>
      </c>
      <c r="H110" s="3">
        <v>2</v>
      </c>
    </row>
    <row r="111" spans="1:8" x14ac:dyDescent="0.25">
      <c r="A111" s="1">
        <v>103</v>
      </c>
      <c r="B111" s="36">
        <v>7.1</v>
      </c>
      <c r="C111">
        <v>3</v>
      </c>
      <c r="D111">
        <v>5.9</v>
      </c>
      <c r="E111">
        <v>2.1</v>
      </c>
      <c r="F111" t="s">
        <v>24</v>
      </c>
      <c r="G111" s="4">
        <v>2</v>
      </c>
      <c r="H111" s="3">
        <v>2</v>
      </c>
    </row>
    <row r="112" spans="1:8" x14ac:dyDescent="0.25">
      <c r="A112" s="1">
        <v>104</v>
      </c>
      <c r="B112" s="36">
        <v>6.3</v>
      </c>
      <c r="C112">
        <v>2.9</v>
      </c>
      <c r="D112">
        <v>5.6</v>
      </c>
      <c r="E112">
        <v>1.8</v>
      </c>
      <c r="F112" t="s">
        <v>24</v>
      </c>
      <c r="G112" s="4">
        <v>2</v>
      </c>
      <c r="H112" s="3">
        <v>2</v>
      </c>
    </row>
    <row r="113" spans="1:8" x14ac:dyDescent="0.25">
      <c r="A113" s="1">
        <v>105</v>
      </c>
      <c r="B113" s="36">
        <v>6.5</v>
      </c>
      <c r="C113">
        <v>3</v>
      </c>
      <c r="D113">
        <v>5.8</v>
      </c>
      <c r="E113">
        <v>2.2000000000000002</v>
      </c>
      <c r="F113" t="s">
        <v>24</v>
      </c>
      <c r="G113" s="4">
        <v>2</v>
      </c>
      <c r="H113" s="3">
        <v>2</v>
      </c>
    </row>
    <row r="114" spans="1:8" x14ac:dyDescent="0.25">
      <c r="A114" s="1">
        <v>106</v>
      </c>
      <c r="B114" s="36">
        <v>7.6</v>
      </c>
      <c r="C114">
        <v>3</v>
      </c>
      <c r="D114">
        <v>6.6</v>
      </c>
      <c r="E114">
        <v>2.1</v>
      </c>
      <c r="F114" t="s">
        <v>24</v>
      </c>
      <c r="G114" s="4">
        <v>2</v>
      </c>
      <c r="H114" s="3">
        <v>2</v>
      </c>
    </row>
    <row r="115" spans="1:8" x14ac:dyDescent="0.25">
      <c r="A115" s="1">
        <v>107</v>
      </c>
      <c r="B115" s="36">
        <v>4.9000000000000004</v>
      </c>
      <c r="C115">
        <v>2.5</v>
      </c>
      <c r="D115">
        <v>4.5</v>
      </c>
      <c r="E115">
        <v>1.7</v>
      </c>
      <c r="F115" t="s">
        <v>24</v>
      </c>
      <c r="G115" s="4">
        <v>2</v>
      </c>
      <c r="H115" s="3">
        <v>2</v>
      </c>
    </row>
    <row r="116" spans="1:8" x14ac:dyDescent="0.25">
      <c r="A116" s="1">
        <v>108</v>
      </c>
      <c r="B116" s="36">
        <v>7.3</v>
      </c>
      <c r="C116">
        <v>2.9</v>
      </c>
      <c r="D116">
        <v>6.3</v>
      </c>
      <c r="E116">
        <v>1.8</v>
      </c>
      <c r="F116" t="s">
        <v>24</v>
      </c>
      <c r="G116" s="4">
        <v>2</v>
      </c>
      <c r="H116" s="3">
        <v>2</v>
      </c>
    </row>
    <row r="117" spans="1:8" x14ac:dyDescent="0.25">
      <c r="A117" s="1">
        <v>109</v>
      </c>
      <c r="B117" s="36">
        <v>6.7</v>
      </c>
      <c r="C117">
        <v>2.5</v>
      </c>
      <c r="D117">
        <v>5.8</v>
      </c>
      <c r="E117">
        <v>1.8</v>
      </c>
      <c r="F117" t="s">
        <v>24</v>
      </c>
      <c r="G117" s="4">
        <v>2</v>
      </c>
      <c r="H117" s="3">
        <v>2</v>
      </c>
    </row>
    <row r="118" spans="1:8" x14ac:dyDescent="0.25">
      <c r="A118" s="1">
        <v>110</v>
      </c>
      <c r="B118" s="36">
        <v>7.2</v>
      </c>
      <c r="C118">
        <v>3.6</v>
      </c>
      <c r="D118">
        <v>6.1</v>
      </c>
      <c r="E118">
        <v>2.5</v>
      </c>
      <c r="F118" t="s">
        <v>24</v>
      </c>
      <c r="G118" s="4">
        <v>2</v>
      </c>
      <c r="H118" s="3">
        <v>2</v>
      </c>
    </row>
    <row r="119" spans="1:8" x14ac:dyDescent="0.25">
      <c r="A119" s="1">
        <v>111</v>
      </c>
      <c r="B119" s="36">
        <v>6.5</v>
      </c>
      <c r="C119">
        <v>3.2</v>
      </c>
      <c r="D119">
        <v>5.0999999999999996</v>
      </c>
      <c r="E119">
        <v>2</v>
      </c>
      <c r="F119" t="s">
        <v>24</v>
      </c>
      <c r="G119" s="4">
        <v>2</v>
      </c>
      <c r="H119" s="3">
        <v>2</v>
      </c>
    </row>
    <row r="120" spans="1:8" x14ac:dyDescent="0.25">
      <c r="A120" s="1">
        <v>112</v>
      </c>
      <c r="B120" s="36">
        <v>6.4</v>
      </c>
      <c r="C120">
        <v>2.7</v>
      </c>
      <c r="D120">
        <v>5.3</v>
      </c>
      <c r="E120">
        <v>1.9</v>
      </c>
      <c r="F120" t="s">
        <v>24</v>
      </c>
      <c r="G120" s="4">
        <v>2</v>
      </c>
      <c r="H120" s="3">
        <v>2</v>
      </c>
    </row>
    <row r="121" spans="1:8" x14ac:dyDescent="0.25">
      <c r="A121" s="1">
        <v>113</v>
      </c>
      <c r="B121" s="36">
        <v>6.8</v>
      </c>
      <c r="C121">
        <v>3</v>
      </c>
      <c r="D121">
        <v>5.5</v>
      </c>
      <c r="E121">
        <v>2.1</v>
      </c>
      <c r="F121" t="s">
        <v>24</v>
      </c>
      <c r="G121" s="4">
        <v>2</v>
      </c>
      <c r="H121" s="3">
        <v>2</v>
      </c>
    </row>
    <row r="122" spans="1:8" x14ac:dyDescent="0.25">
      <c r="A122" s="1">
        <v>114</v>
      </c>
      <c r="B122" s="36">
        <v>5.7</v>
      </c>
      <c r="C122">
        <v>2.5</v>
      </c>
      <c r="D122">
        <v>5</v>
      </c>
      <c r="E122">
        <v>2</v>
      </c>
      <c r="F122" t="s">
        <v>24</v>
      </c>
      <c r="G122" s="4">
        <v>2</v>
      </c>
      <c r="H122" s="3">
        <v>2</v>
      </c>
    </row>
    <row r="123" spans="1:8" x14ac:dyDescent="0.25">
      <c r="A123" s="1">
        <v>115</v>
      </c>
      <c r="B123" s="36">
        <v>5.8</v>
      </c>
      <c r="C123">
        <v>2.8</v>
      </c>
      <c r="D123">
        <v>5.0999999999999996</v>
      </c>
      <c r="E123">
        <v>2.4</v>
      </c>
      <c r="F123" t="s">
        <v>24</v>
      </c>
      <c r="G123" s="4">
        <v>2</v>
      </c>
      <c r="H123" s="3">
        <v>2</v>
      </c>
    </row>
    <row r="124" spans="1:8" x14ac:dyDescent="0.25">
      <c r="A124" s="1">
        <v>116</v>
      </c>
      <c r="B124" s="36">
        <v>6.4</v>
      </c>
      <c r="C124">
        <v>3.2</v>
      </c>
      <c r="D124">
        <v>5.3</v>
      </c>
      <c r="E124">
        <v>2.2999999999999998</v>
      </c>
      <c r="F124" t="s">
        <v>24</v>
      </c>
      <c r="G124" s="4">
        <v>2</v>
      </c>
      <c r="H124" s="3">
        <v>2</v>
      </c>
    </row>
    <row r="125" spans="1:8" x14ac:dyDescent="0.25">
      <c r="A125" s="1">
        <v>117</v>
      </c>
      <c r="B125" s="36">
        <v>6.5</v>
      </c>
      <c r="C125">
        <v>3</v>
      </c>
      <c r="D125">
        <v>5.5</v>
      </c>
      <c r="E125">
        <v>1.8</v>
      </c>
      <c r="F125" t="s">
        <v>24</v>
      </c>
      <c r="G125" s="4">
        <v>2</v>
      </c>
      <c r="H125" s="3">
        <v>2</v>
      </c>
    </row>
    <row r="126" spans="1:8" x14ac:dyDescent="0.25">
      <c r="A126" s="1">
        <v>118</v>
      </c>
      <c r="B126" s="36">
        <v>7.7</v>
      </c>
      <c r="C126">
        <v>3.8</v>
      </c>
      <c r="D126">
        <v>6.7</v>
      </c>
      <c r="E126">
        <v>2.2000000000000002</v>
      </c>
      <c r="F126" t="s">
        <v>24</v>
      </c>
      <c r="G126" s="4">
        <v>2</v>
      </c>
      <c r="H126" s="3">
        <v>2</v>
      </c>
    </row>
    <row r="127" spans="1:8" x14ac:dyDescent="0.25">
      <c r="A127" s="1">
        <v>119</v>
      </c>
      <c r="B127" s="36">
        <v>7.7</v>
      </c>
      <c r="C127">
        <v>2.6</v>
      </c>
      <c r="D127">
        <v>6.9</v>
      </c>
      <c r="E127">
        <v>2.2999999999999998</v>
      </c>
      <c r="F127" t="s">
        <v>24</v>
      </c>
      <c r="G127" s="4">
        <v>2</v>
      </c>
      <c r="H127" s="3">
        <v>2</v>
      </c>
    </row>
    <row r="128" spans="1:8" x14ac:dyDescent="0.25">
      <c r="A128" s="1">
        <v>120</v>
      </c>
      <c r="B128" s="36">
        <v>6</v>
      </c>
      <c r="C128">
        <v>2.2000000000000002</v>
      </c>
      <c r="D128">
        <v>5</v>
      </c>
      <c r="E128">
        <v>1.5</v>
      </c>
      <c r="F128" t="s">
        <v>24</v>
      </c>
      <c r="G128" s="4">
        <v>2</v>
      </c>
      <c r="H128" s="3">
        <v>2</v>
      </c>
    </row>
    <row r="129" spans="1:8" x14ac:dyDescent="0.25">
      <c r="A129" s="1">
        <v>121</v>
      </c>
      <c r="B129" s="36">
        <v>6.9</v>
      </c>
      <c r="C129">
        <v>3.2</v>
      </c>
      <c r="D129">
        <v>5.7</v>
      </c>
      <c r="E129">
        <v>2.2999999999999998</v>
      </c>
      <c r="F129" t="s">
        <v>24</v>
      </c>
      <c r="G129" s="4">
        <v>2</v>
      </c>
      <c r="H129" s="3">
        <v>2</v>
      </c>
    </row>
    <row r="130" spans="1:8" x14ac:dyDescent="0.25">
      <c r="A130" s="1">
        <v>122</v>
      </c>
      <c r="B130" s="36">
        <v>5.6</v>
      </c>
      <c r="C130">
        <v>2.8</v>
      </c>
      <c r="D130">
        <v>4.9000000000000004</v>
      </c>
      <c r="E130">
        <v>2</v>
      </c>
      <c r="F130" t="s">
        <v>24</v>
      </c>
      <c r="G130" s="4">
        <v>2</v>
      </c>
      <c r="H130" s="3">
        <v>2</v>
      </c>
    </row>
    <row r="131" spans="1:8" x14ac:dyDescent="0.25">
      <c r="A131" s="1">
        <v>123</v>
      </c>
      <c r="B131" s="36">
        <v>7.7</v>
      </c>
      <c r="C131">
        <v>2.8</v>
      </c>
      <c r="D131">
        <v>6.7</v>
      </c>
      <c r="E131">
        <v>2</v>
      </c>
      <c r="F131" t="s">
        <v>24</v>
      </c>
      <c r="G131" s="4">
        <v>2</v>
      </c>
      <c r="H131" s="3">
        <v>2</v>
      </c>
    </row>
    <row r="132" spans="1:8" x14ac:dyDescent="0.25">
      <c r="A132" s="1">
        <v>124</v>
      </c>
      <c r="B132" s="36">
        <v>6.3</v>
      </c>
      <c r="C132">
        <v>2.7</v>
      </c>
      <c r="D132">
        <v>4.9000000000000004</v>
      </c>
      <c r="E132">
        <v>1.8</v>
      </c>
      <c r="F132" t="s">
        <v>24</v>
      </c>
      <c r="G132" s="4">
        <v>2</v>
      </c>
      <c r="H132" s="3">
        <v>2</v>
      </c>
    </row>
    <row r="133" spans="1:8" x14ac:dyDescent="0.25">
      <c r="A133" s="1">
        <v>125</v>
      </c>
      <c r="B133" s="36">
        <v>6.7</v>
      </c>
      <c r="C133">
        <v>3.3</v>
      </c>
      <c r="D133">
        <v>5.7</v>
      </c>
      <c r="E133">
        <v>2.1</v>
      </c>
      <c r="F133" t="s">
        <v>24</v>
      </c>
      <c r="G133" s="4">
        <v>2</v>
      </c>
      <c r="H133" s="3">
        <v>2</v>
      </c>
    </row>
    <row r="134" spans="1:8" x14ac:dyDescent="0.25">
      <c r="A134" s="1">
        <v>126</v>
      </c>
      <c r="B134" s="36">
        <v>7.2</v>
      </c>
      <c r="C134">
        <v>3.2</v>
      </c>
      <c r="D134">
        <v>6</v>
      </c>
      <c r="E134">
        <v>1.8</v>
      </c>
      <c r="F134" t="s">
        <v>24</v>
      </c>
      <c r="G134" s="4">
        <v>2</v>
      </c>
      <c r="H134" s="3">
        <v>2</v>
      </c>
    </row>
    <row r="135" spans="1:8" x14ac:dyDescent="0.25">
      <c r="A135" s="1">
        <v>127</v>
      </c>
      <c r="B135" s="36">
        <v>6.2</v>
      </c>
      <c r="C135">
        <v>2.8</v>
      </c>
      <c r="D135">
        <v>4.8</v>
      </c>
      <c r="E135">
        <v>1.8</v>
      </c>
      <c r="F135" t="s">
        <v>24</v>
      </c>
      <c r="G135" s="4">
        <v>2</v>
      </c>
      <c r="H135" s="3">
        <v>2</v>
      </c>
    </row>
    <row r="136" spans="1:8" x14ac:dyDescent="0.25">
      <c r="A136" s="1">
        <v>128</v>
      </c>
      <c r="B136" s="36">
        <v>6.1</v>
      </c>
      <c r="C136">
        <v>3</v>
      </c>
      <c r="D136">
        <v>4.9000000000000004</v>
      </c>
      <c r="E136">
        <v>1.8</v>
      </c>
      <c r="F136" t="s">
        <v>24</v>
      </c>
      <c r="G136" s="4">
        <v>2</v>
      </c>
      <c r="H136" s="3">
        <v>2</v>
      </c>
    </row>
    <row r="137" spans="1:8" x14ac:dyDescent="0.25">
      <c r="A137" s="1">
        <v>129</v>
      </c>
      <c r="B137" s="36">
        <v>6.4</v>
      </c>
      <c r="C137">
        <v>2.8</v>
      </c>
      <c r="D137">
        <v>5.6</v>
      </c>
      <c r="E137">
        <v>2.1</v>
      </c>
      <c r="F137" t="s">
        <v>24</v>
      </c>
      <c r="G137" s="4">
        <v>2</v>
      </c>
      <c r="H137" s="3">
        <v>2</v>
      </c>
    </row>
    <row r="138" spans="1:8" x14ac:dyDescent="0.25">
      <c r="A138" s="1">
        <v>130</v>
      </c>
      <c r="B138" s="36">
        <v>7.2</v>
      </c>
      <c r="C138">
        <v>3</v>
      </c>
      <c r="D138">
        <v>5.8</v>
      </c>
      <c r="E138">
        <v>1.6</v>
      </c>
      <c r="F138" t="s">
        <v>24</v>
      </c>
      <c r="G138" s="4">
        <v>2</v>
      </c>
      <c r="H138" s="3">
        <v>2</v>
      </c>
    </row>
    <row r="139" spans="1:8" x14ac:dyDescent="0.25">
      <c r="A139" s="1">
        <v>131</v>
      </c>
      <c r="B139" s="36">
        <v>7.4</v>
      </c>
      <c r="C139">
        <v>2.8</v>
      </c>
      <c r="D139">
        <v>6.1</v>
      </c>
      <c r="E139">
        <v>1.9</v>
      </c>
      <c r="F139" t="s">
        <v>24</v>
      </c>
      <c r="G139" s="4">
        <v>2</v>
      </c>
      <c r="H139" s="3">
        <v>2</v>
      </c>
    </row>
    <row r="140" spans="1:8" x14ac:dyDescent="0.25">
      <c r="A140" s="1">
        <v>132</v>
      </c>
      <c r="B140" s="36">
        <v>7.9</v>
      </c>
      <c r="C140">
        <v>3.8</v>
      </c>
      <c r="D140">
        <v>6.4</v>
      </c>
      <c r="E140">
        <v>2</v>
      </c>
      <c r="F140" t="s">
        <v>24</v>
      </c>
      <c r="G140" s="4">
        <v>2</v>
      </c>
      <c r="H140" s="3">
        <v>2</v>
      </c>
    </row>
    <row r="141" spans="1:8" x14ac:dyDescent="0.25">
      <c r="A141" s="1">
        <v>133</v>
      </c>
      <c r="B141" s="36">
        <v>6.4</v>
      </c>
      <c r="C141">
        <v>2.8</v>
      </c>
      <c r="D141">
        <v>5.6</v>
      </c>
      <c r="E141">
        <v>2.2000000000000002</v>
      </c>
      <c r="F141" t="s">
        <v>24</v>
      </c>
      <c r="G141" s="4">
        <v>2</v>
      </c>
      <c r="H141" s="3">
        <v>2</v>
      </c>
    </row>
    <row r="142" spans="1:8" x14ac:dyDescent="0.25">
      <c r="A142" s="1">
        <v>134</v>
      </c>
      <c r="B142" s="36">
        <v>6.3</v>
      </c>
      <c r="C142">
        <v>2.8</v>
      </c>
      <c r="D142">
        <v>5.0999999999999996</v>
      </c>
      <c r="E142">
        <v>1.5</v>
      </c>
      <c r="F142" t="s">
        <v>24</v>
      </c>
      <c r="G142" s="4">
        <v>1</v>
      </c>
      <c r="H142" s="3">
        <v>2</v>
      </c>
    </row>
    <row r="143" spans="1:8" x14ac:dyDescent="0.25">
      <c r="A143" s="1">
        <v>135</v>
      </c>
      <c r="B143" s="36">
        <v>6.1</v>
      </c>
      <c r="C143">
        <v>2.6</v>
      </c>
      <c r="D143">
        <v>5.6</v>
      </c>
      <c r="E143">
        <v>1.4</v>
      </c>
      <c r="F143" t="s">
        <v>24</v>
      </c>
      <c r="G143" s="4">
        <v>2</v>
      </c>
      <c r="H143" s="3">
        <v>2</v>
      </c>
    </row>
    <row r="144" spans="1:8" x14ac:dyDescent="0.25">
      <c r="A144" s="1">
        <v>136</v>
      </c>
      <c r="B144" s="36">
        <v>7.7</v>
      </c>
      <c r="C144">
        <v>3</v>
      </c>
      <c r="D144">
        <v>6.1</v>
      </c>
      <c r="E144">
        <v>2.2999999999999998</v>
      </c>
      <c r="F144" t="s">
        <v>24</v>
      </c>
      <c r="G144" s="4">
        <v>2</v>
      </c>
      <c r="H144" s="3">
        <v>2</v>
      </c>
    </row>
    <row r="145" spans="1:8" x14ac:dyDescent="0.25">
      <c r="A145" s="1">
        <v>137</v>
      </c>
      <c r="B145" s="36">
        <v>6.3</v>
      </c>
      <c r="C145">
        <v>3.4</v>
      </c>
      <c r="D145">
        <v>5.6</v>
      </c>
      <c r="E145">
        <v>2.4</v>
      </c>
      <c r="F145" t="s">
        <v>24</v>
      </c>
      <c r="G145" s="4">
        <v>2</v>
      </c>
      <c r="H145" s="3">
        <v>2</v>
      </c>
    </row>
    <row r="146" spans="1:8" x14ac:dyDescent="0.25">
      <c r="A146" s="1">
        <v>138</v>
      </c>
      <c r="B146" s="36">
        <v>6.4</v>
      </c>
      <c r="C146">
        <v>3.1</v>
      </c>
      <c r="D146">
        <v>5.5</v>
      </c>
      <c r="E146">
        <v>1.8</v>
      </c>
      <c r="F146" t="s">
        <v>24</v>
      </c>
      <c r="G146" s="4">
        <v>2</v>
      </c>
      <c r="H146" s="3">
        <v>2</v>
      </c>
    </row>
    <row r="147" spans="1:8" x14ac:dyDescent="0.25">
      <c r="A147" s="1">
        <v>139</v>
      </c>
      <c r="B147" s="36">
        <v>6</v>
      </c>
      <c r="C147">
        <v>3</v>
      </c>
      <c r="D147">
        <v>4.8</v>
      </c>
      <c r="E147">
        <v>1.8</v>
      </c>
      <c r="F147" t="s">
        <v>24</v>
      </c>
      <c r="G147" s="4">
        <v>2</v>
      </c>
      <c r="H147" s="3">
        <v>2</v>
      </c>
    </row>
    <row r="148" spans="1:8" x14ac:dyDescent="0.25">
      <c r="A148" s="1">
        <v>140</v>
      </c>
      <c r="B148" s="36">
        <v>6.9</v>
      </c>
      <c r="C148">
        <v>3.1</v>
      </c>
      <c r="D148">
        <v>5.4</v>
      </c>
      <c r="E148">
        <v>2.1</v>
      </c>
      <c r="F148" t="s">
        <v>24</v>
      </c>
      <c r="G148" s="4">
        <v>2</v>
      </c>
      <c r="H148" s="3">
        <v>2</v>
      </c>
    </row>
    <row r="149" spans="1:8" x14ac:dyDescent="0.25">
      <c r="A149" s="1">
        <v>141</v>
      </c>
      <c r="B149" s="36">
        <v>6.7</v>
      </c>
      <c r="C149">
        <v>3.1</v>
      </c>
      <c r="D149">
        <v>5.6</v>
      </c>
      <c r="E149">
        <v>2.4</v>
      </c>
      <c r="F149" t="s">
        <v>24</v>
      </c>
      <c r="G149" s="4">
        <v>2</v>
      </c>
      <c r="H149" s="3">
        <v>2</v>
      </c>
    </row>
    <row r="150" spans="1:8" x14ac:dyDescent="0.25">
      <c r="A150" s="1">
        <v>142</v>
      </c>
      <c r="B150" s="36">
        <v>6.9</v>
      </c>
      <c r="C150">
        <v>3.1</v>
      </c>
      <c r="D150">
        <v>5.0999999999999996</v>
      </c>
      <c r="E150">
        <v>2.2999999999999998</v>
      </c>
      <c r="F150" t="s">
        <v>24</v>
      </c>
      <c r="G150" s="4">
        <v>2</v>
      </c>
      <c r="H150" s="3">
        <v>2</v>
      </c>
    </row>
    <row r="151" spans="1:8" x14ac:dyDescent="0.25">
      <c r="A151" s="1">
        <v>143</v>
      </c>
      <c r="B151" s="36">
        <v>5.8</v>
      </c>
      <c r="C151">
        <v>2.7</v>
      </c>
      <c r="D151">
        <v>5.0999999999999996</v>
      </c>
      <c r="E151">
        <v>1.9</v>
      </c>
      <c r="F151" t="s">
        <v>24</v>
      </c>
      <c r="G151" s="4">
        <v>2</v>
      </c>
      <c r="H151" s="3">
        <v>2</v>
      </c>
    </row>
    <row r="152" spans="1:8" x14ac:dyDescent="0.25">
      <c r="A152" s="1">
        <v>144</v>
      </c>
      <c r="B152" s="36">
        <v>6.8</v>
      </c>
      <c r="C152">
        <v>3.2</v>
      </c>
      <c r="D152">
        <v>5.9</v>
      </c>
      <c r="E152">
        <v>2.2999999999999998</v>
      </c>
      <c r="F152" t="s">
        <v>24</v>
      </c>
      <c r="G152" s="4">
        <v>2</v>
      </c>
      <c r="H152" s="3">
        <v>2</v>
      </c>
    </row>
    <row r="153" spans="1:8" x14ac:dyDescent="0.25">
      <c r="A153" s="1">
        <v>145</v>
      </c>
      <c r="B153" s="36">
        <v>6.7</v>
      </c>
      <c r="C153">
        <v>3.3</v>
      </c>
      <c r="D153">
        <v>5.7</v>
      </c>
      <c r="E153">
        <v>2.5</v>
      </c>
      <c r="F153" t="s">
        <v>24</v>
      </c>
      <c r="G153" s="4">
        <v>2</v>
      </c>
      <c r="H153" s="3">
        <v>2</v>
      </c>
    </row>
    <row r="154" spans="1:8" x14ac:dyDescent="0.25">
      <c r="A154" s="1">
        <v>146</v>
      </c>
      <c r="B154" s="36">
        <v>6.7</v>
      </c>
      <c r="C154">
        <v>3</v>
      </c>
      <c r="D154">
        <v>5.2</v>
      </c>
      <c r="E154">
        <v>2.2999999999999998</v>
      </c>
      <c r="F154" t="s">
        <v>24</v>
      </c>
      <c r="G154" s="4">
        <v>2</v>
      </c>
      <c r="H154" s="3">
        <v>2</v>
      </c>
    </row>
    <row r="155" spans="1:8" x14ac:dyDescent="0.25">
      <c r="A155" s="1">
        <v>147</v>
      </c>
      <c r="B155" s="36">
        <v>6.3</v>
      </c>
      <c r="C155">
        <v>2.5</v>
      </c>
      <c r="D155">
        <v>5</v>
      </c>
      <c r="E155">
        <v>1.9</v>
      </c>
      <c r="F155" t="s">
        <v>24</v>
      </c>
      <c r="G155" s="4">
        <v>2</v>
      </c>
      <c r="H155" s="3">
        <v>2</v>
      </c>
    </row>
    <row r="156" spans="1:8" x14ac:dyDescent="0.25">
      <c r="A156" s="1">
        <v>148</v>
      </c>
      <c r="B156" s="36">
        <v>6.5</v>
      </c>
      <c r="C156">
        <v>3</v>
      </c>
      <c r="D156">
        <v>5.2</v>
      </c>
      <c r="E156">
        <v>2</v>
      </c>
      <c r="F156" t="s">
        <v>24</v>
      </c>
      <c r="G156" s="4">
        <v>2</v>
      </c>
      <c r="H156" s="3">
        <v>2</v>
      </c>
    </row>
    <row r="157" spans="1:8" x14ac:dyDescent="0.25">
      <c r="A157" s="1">
        <v>149</v>
      </c>
      <c r="B157" s="36">
        <v>6.2</v>
      </c>
      <c r="C157">
        <v>3.4</v>
      </c>
      <c r="D157">
        <v>5.4</v>
      </c>
      <c r="E157">
        <v>2.2999999999999998</v>
      </c>
      <c r="F157" t="s">
        <v>24</v>
      </c>
      <c r="G157" s="4">
        <v>2</v>
      </c>
      <c r="H157" s="3">
        <v>2</v>
      </c>
    </row>
    <row r="158" spans="1:8" x14ac:dyDescent="0.25">
      <c r="A158" s="1">
        <v>150</v>
      </c>
      <c r="B158" s="37">
        <v>5.9</v>
      </c>
      <c r="C158" s="18">
        <v>3</v>
      </c>
      <c r="D158" s="18">
        <v>5.0999999999999996</v>
      </c>
      <c r="E158" s="18">
        <v>1.8</v>
      </c>
      <c r="F158" s="18" t="s">
        <v>24</v>
      </c>
      <c r="G158" s="18">
        <v>2</v>
      </c>
      <c r="H158" s="5">
        <v>2</v>
      </c>
    </row>
  </sheetData>
  <mergeCells count="1">
    <mergeCell ref="E6:F6"/>
  </mergeCells>
  <conditionalFormatting sqref="K12:K13">
    <cfRule type="duplicateValues" dxfId="7" priority="10"/>
  </conditionalFormatting>
  <conditionalFormatting sqref="K18:K19">
    <cfRule type="duplicateValues" dxfId="6" priority="8"/>
  </conditionalFormatting>
  <conditionalFormatting sqref="K24:K25">
    <cfRule type="duplicateValues" dxfId="5" priority="5"/>
  </conditionalFormatting>
  <conditionalFormatting sqref="K40">
    <cfRule type="duplicateValues" dxfId="4" priority="11"/>
  </conditionalFormatting>
  <conditionalFormatting sqref="G9:H58">
    <cfRule type="cellIs" dxfId="3" priority="1" operator="notEqual">
      <formula>0</formula>
    </cfRule>
    <cfRule type="cellIs" dxfId="2" priority="4" operator="greaterThan">
      <formula>0</formula>
    </cfRule>
  </conditionalFormatting>
  <conditionalFormatting sqref="G59:H108">
    <cfRule type="cellIs" dxfId="1" priority="3" operator="notEqual">
      <formula>1</formula>
    </cfRule>
  </conditionalFormatting>
  <conditionalFormatting sqref="G109:H158">
    <cfRule type="cellIs" dxfId="0" priority="2" operator="notEqual">
      <formula>2</formula>
    </cfRule>
  </conditionalFormatting>
  <pageMargins left="0.7" right="0.7" top="0.75" bottom="0.75" header="0.3" footer="0.3"/>
  <pageSetup paperSize="9"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Metody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Portege</dc:creator>
  <cp:lastModifiedBy>User</cp:lastModifiedBy>
  <dcterms:created xsi:type="dcterms:W3CDTF">2020-03-09T12:55:22Z</dcterms:created>
  <dcterms:modified xsi:type="dcterms:W3CDTF">2020-04-11T16:04:30Z</dcterms:modified>
</cp:coreProperties>
</file>